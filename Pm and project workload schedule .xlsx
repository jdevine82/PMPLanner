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tc={63280a4e-8bca-4e9a-9e63-89e481a4d2d8}</author>
  </authors>
  <commentList>
    <comment authorId="0" xr:uid="{63280a4e-8bca-4e9a-9e63-89e481a4d2d8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Jason Thank you for working on this. Excellent
Reply:
	plenty to do. I am keeping it locked down for now. once I am done I will I think retain control over it as it is only a spreadsheet that can easily get corrupted.
</t>
      </text>
    </comment>
  </commentList>
</comments>
</file>

<file path=xl/sharedStrings.xml><?xml version="1.0" encoding="utf-8"?>
<sst xmlns="http://schemas.openxmlformats.org/spreadsheetml/2006/main" count="364" uniqueCount="137">
  <si>
    <t xml:space="preserve"> </t>
  </si>
  <si>
    <t xml:space="preserve">January 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</si>
  <si>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</si>
  <si>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</si>
  <si>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</si>
  <si>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</si>
  <si>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</si>
  <si>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</si>
  <si>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</si>
  <si>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</si>
  <si>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</si>
  <si>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</si>
  <si>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December </t>
  </si>
  <si>
    <t>% of Month filled</t>
  </si>
  <si>
    <t xml:space="preserve">customer </t>
  </si>
  <si>
    <t>interval months</t>
  </si>
  <si>
    <t>Task name</t>
  </si>
  <si>
    <t>estimated hours</t>
  </si>
  <si>
    <t>week 1</t>
  </si>
  <si>
    <t>week 2</t>
  </si>
  <si>
    <t>week3</t>
  </si>
  <si>
    <t>week 4</t>
  </si>
  <si>
    <t>Totals</t>
  </si>
  <si>
    <t>Project work</t>
  </si>
  <si>
    <t>Altora AG</t>
  </si>
  <si>
    <t>test  and tag</t>
  </si>
  <si>
    <t>Aspire</t>
  </si>
  <si>
    <t>Commericial Ducted Service</t>
  </si>
  <si>
    <t>Split Deep clean</t>
  </si>
  <si>
    <t xml:space="preserve">RCD injection testing </t>
  </si>
  <si>
    <t>test and tag</t>
  </si>
  <si>
    <t>Emergency light Testing</t>
  </si>
  <si>
    <t>Cameo</t>
  </si>
  <si>
    <t>Fridge/Freezer Servic</t>
  </si>
  <si>
    <t>Split System Deep Clean</t>
  </si>
  <si>
    <t>CBM Facilities Group</t>
  </si>
  <si>
    <t>emergecy Light test</t>
  </si>
  <si>
    <t>RCD Injection Tests</t>
  </si>
  <si>
    <t>RCD Push Button tests</t>
  </si>
  <si>
    <t>Split Sytem Deep Clean</t>
  </si>
  <si>
    <t>Test and Tag</t>
  </si>
  <si>
    <t>Clear Ridge Fabrication</t>
  </si>
  <si>
    <t>Test and tag</t>
  </si>
  <si>
    <t>Evolution -Boundry st</t>
  </si>
  <si>
    <t>cassette and Split Deep Clean (Dining/office)</t>
  </si>
  <si>
    <t>Commercial Dryer</t>
  </si>
  <si>
    <t>Commercial Washer</t>
  </si>
  <si>
    <t>Commercical Dryer</t>
  </si>
  <si>
    <t xml:space="preserve">Display Fridge Serivice inc Salad bars </t>
  </si>
  <si>
    <t>Display Fridge Service inc salad bars</t>
  </si>
  <si>
    <t>Ducted System clean and service-Dining Room</t>
  </si>
  <si>
    <t>emergency Light Testing</t>
  </si>
  <si>
    <t>Exhaust Fan Service kitchen/office and air curtains</t>
  </si>
  <si>
    <t>Exhuast Fan Service accomdation rooms?</t>
  </si>
  <si>
    <t>Fresh Water Booster Pump Service</t>
  </si>
  <si>
    <t>Fridge and Freezer Service</t>
  </si>
  <si>
    <t>Generator Service</t>
  </si>
  <si>
    <t>Ice cream freezer service</t>
  </si>
  <si>
    <t>ice machine</t>
  </si>
  <si>
    <t>Ice Machines</t>
  </si>
  <si>
    <t>Kitchen Cassette deep clean</t>
  </si>
  <si>
    <t>Oven Service</t>
  </si>
  <si>
    <t>RCD Injection Tests Acco+Games+Laundries+Laundry sub boards+Admin</t>
  </si>
  <si>
    <t>RCD push button  Acco+Admin+Games+Laundries+sub boards</t>
  </si>
  <si>
    <t>Solar Panel Service</t>
  </si>
  <si>
    <t>Split Service Accomdation Rooms</t>
  </si>
  <si>
    <t>Split System Deep Clean Accomdation Rooms only</t>
  </si>
  <si>
    <t>Switchboard Service (not RCD)</t>
  </si>
  <si>
    <t>test and tag rooms+admin+Kitchen+Games+all Laundys</t>
  </si>
  <si>
    <t>Washer/Dryer Service Laundry 1</t>
  </si>
  <si>
    <t>Washer/Dryer Service Laundry 2</t>
  </si>
  <si>
    <t>Washer/Dryer Service Laundry 3</t>
  </si>
  <si>
    <t>Split system/cassette filter cleans</t>
  </si>
  <si>
    <t>Washer/Dryer Service Laundry 4</t>
  </si>
  <si>
    <t>Evolution -Clubb Inn</t>
  </si>
  <si>
    <t>Exhaust Fan Service</t>
  </si>
  <si>
    <t>RCD Push Button Tests</t>
  </si>
  <si>
    <t>Split System Service</t>
  </si>
  <si>
    <t>Washer/Dryer Service</t>
  </si>
  <si>
    <t xml:space="preserve">Washer/Dryer Service </t>
  </si>
  <si>
    <t>Evolution -Mine Site</t>
  </si>
  <si>
    <t>Automatic Coffee Machine Service</t>
  </si>
  <si>
    <t>Evolution-Boundry Street</t>
  </si>
  <si>
    <t>Outside Condenser Clean</t>
  </si>
  <si>
    <t>French Hot Bread</t>
  </si>
  <si>
    <t>Dishwasher Service</t>
  </si>
  <si>
    <t>Kurrajong Recycling</t>
  </si>
  <si>
    <t>Evaporative AC Service</t>
  </si>
  <si>
    <t>Split System Deep Clean  Park and recycling</t>
  </si>
  <si>
    <t>LLAC</t>
  </si>
  <si>
    <t>Evaporative Cooler Service-all sites</t>
  </si>
  <si>
    <t>RCD injection testing-all sites</t>
  </si>
  <si>
    <t>Smoke alarm Testing-all sites</t>
  </si>
  <si>
    <t>Split System Deep Cleans all sites</t>
  </si>
  <si>
    <t>Meals on Wheels</t>
  </si>
  <si>
    <t>fridge and freezer Service</t>
  </si>
  <si>
    <t>Mid West</t>
  </si>
  <si>
    <t>MLAHMC</t>
  </si>
  <si>
    <t>Evaporative AC Service accross all sites</t>
  </si>
  <si>
    <t>RCD Injection Tests-All sites</t>
  </si>
  <si>
    <t>Smoke Alarm Testing accross sites</t>
  </si>
  <si>
    <t>Mt Mulga</t>
  </si>
  <si>
    <t>Emergency Light Testing</t>
  </si>
  <si>
    <t>RCD testing</t>
  </si>
  <si>
    <t xml:space="preserve">Split System </t>
  </si>
  <si>
    <t>O-Connors</t>
  </si>
  <si>
    <t>Split System Air Conditioner Deep Clean</t>
  </si>
  <si>
    <t>RFBI</t>
  </si>
  <si>
    <t>Ducted System clean and service</t>
  </si>
  <si>
    <t>Ducted system-filter cleans</t>
  </si>
  <si>
    <t>Exhause Fan Service</t>
  </si>
  <si>
    <t>Filter Cleans -all acs</t>
  </si>
  <si>
    <t>Ice machine service</t>
  </si>
  <si>
    <t>Injection test</t>
  </si>
  <si>
    <t>RCD Push button Tests</t>
  </si>
  <si>
    <t>Split System Deep clean Banksia Wing only</t>
  </si>
  <si>
    <t>Split System Deep Clean Cooee Wing Only</t>
  </si>
  <si>
    <t>Split System Deep Clean Garden Wing Only</t>
  </si>
  <si>
    <t>Split System Deep Clean KITCHEN/Laundry/Server rooms and Offices</t>
  </si>
  <si>
    <t>Split System Deep Clean Staff Rooms and dongas</t>
  </si>
  <si>
    <t>Temp Probe Calibrations</t>
  </si>
  <si>
    <t>RFBI-rented houses</t>
  </si>
  <si>
    <t>General Electrical Check</t>
  </si>
  <si>
    <t>RCD injection tests</t>
  </si>
  <si>
    <t>RCD Push button tests</t>
  </si>
  <si>
    <t>Smoke alarm testing</t>
  </si>
  <si>
    <t>split system service</t>
  </si>
  <si>
    <t>SGS</t>
  </si>
  <si>
    <t>Solterra</t>
  </si>
  <si>
    <t>Smoke Alarm Testing</t>
  </si>
  <si>
    <t xml:space="preserve">Solterra </t>
  </si>
  <si>
    <t>RCD Injection tests</t>
  </si>
  <si>
    <t>Tivolli</t>
  </si>
  <si>
    <t>Commercial Air Conditioner Service</t>
  </si>
  <si>
    <t>Kurrajong Living Life style</t>
  </si>
  <si>
    <t>injection testing</t>
  </si>
  <si>
    <t>split system clean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</si>
</sst>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textRotation="90" wrapText="1"/>
    </xf>
    <xf borderId="0" fillId="0" fontId="1" numFmtId="1" xfId="0" applyAlignment="1" applyFont="1" applyNumberFormat="1">
      <alignment readingOrder="0" textRotation="0"/>
    </xf>
    <xf borderId="0" fillId="0" fontId="1" numFmtId="0" xfId="0" applyAlignment="1" applyFont="1">
      <alignment readingOrder="0" textRotation="90"/>
    </xf>
    <xf borderId="0" fillId="0" fontId="2" numFmtId="0" xfId="0" applyAlignment="1" applyFont="1">
      <alignment textRotation="90" vertical="bottom"/>
    </xf>
    <xf borderId="0" fillId="0" fontId="1" numFmtId="0" xfId="0" applyAlignment="1" applyFont="1">
      <alignment textRotation="9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textRotation="0"/>
    </xf>
    <xf borderId="0" fillId="0" fontId="1" numFmtId="0" xfId="0" applyAlignment="1" applyFont="1">
      <alignment textRotation="90"/>
    </xf>
    <xf borderId="0" fillId="2" fontId="1" numFmtId="0" xfId="0" applyAlignment="1" applyFill="1" applyFont="1">
      <alignment readingOrder="0" textRotation="0"/>
    </xf>
    <xf borderId="0" fillId="0" fontId="1" numFmtId="0" xfId="0" applyAlignment="1" applyFont="1">
      <alignment textRotation="0"/>
    </xf>
    <xf borderId="0" fillId="2" fontId="1" numFmtId="0" xfId="0" applyAlignment="1" applyFont="1">
      <alignment readingOrder="0" textRotation="0"/>
    </xf>
    <xf borderId="0" fillId="3" fontId="2" numFmtId="0" xfId="0" applyAlignment="1" applyFill="1" applyFont="1">
      <alignment horizontal="right" textRotation="0" vertical="bottom"/>
    </xf>
    <xf borderId="0" fillId="0" fontId="1" numFmtId="0" xfId="0" applyAlignment="1" applyFont="1">
      <alignment textRotation="0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horizontal="right" readingOrder="0" vertical="bottom"/>
    </xf>
    <xf borderId="0" fillId="4" fontId="2" numFmtId="0" xfId="0" applyAlignment="1" applyFont="1">
      <alignment horizontal="right" readingOrder="0" textRotation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byn Simone" id="{c1351e3c-9679-421a-9f2c-a81500cfcd34}" providerId="google-sheets"/>
  <x18tc:person displayName="Jason Devine" id="{55cc10f3-8a46-4df1-9f11-0a38da36f5b2}" providerId="google-sheets"/>
</x18tc:personList>
</file>

<file path=xl/tables/table1.xml><?xml version="1.0" encoding="utf-8"?>
<table xmlns="http://schemas.openxmlformats.org/spreadsheetml/2006/main" headerRowCount="0" ref="A5:CV123" displayName="Table_1" name="Table_1" id="1">
  <tableColumns count="10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8" dT="2025-08-17T11:58:26.00" personId="{c1351e3c-9679-421a-9f2c-a81500cfcd34}" id="{63280a4e-8bca-4e9a-9e63-89e481a4d2d8}" done="0">
    <x18tc:text xml:space="preserve">Jason Thank you for working on this. Excellent</x18tc:text>
  </x18tc:threadedComment>
  <x18tc:threadedComment ref="C28" dT="2025-08-17T12:19:18.00" personId="{55cc10f3-8a46-4df1-9f11-0a38da36f5b2}" id="{fe6821a8-4c74-49ae-97d0-278bccfcf8e7}" parentId="{63280a4e-8bca-4e9a-9e63-89e481a4d2d8}">
    <x18tc:text xml:space="preserve">plenty to do. I am keeping it locked down for now. once I am done I will I think retain control over it as it is only a spreadsheet that can easily get corrupted.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38"/>
    <col customWidth="1" min="2" max="2" width="8.0"/>
    <col customWidth="1" min="3" max="3" width="56.88"/>
    <col customWidth="1" min="4" max="4" width="6.0"/>
    <col customWidth="1" min="5" max="7" width="2.88"/>
    <col customWidth="1" min="8" max="8" width="3.88"/>
    <col customWidth="1" min="9" max="9" width="3.38"/>
    <col customWidth="1" min="10" max="11" width="3.5"/>
    <col customWidth="1" min="12" max="12" width="3.88"/>
    <col customWidth="1" min="13" max="13" width="3.75"/>
    <col customWidth="1" min="14" max="14" width="2.88"/>
    <col customWidth="1" min="15" max="15" width="3.5"/>
    <col customWidth="1" min="16" max="16" width="4.0"/>
    <col customWidth="1" min="17" max="17" width="3.5"/>
    <col customWidth="1" min="18" max="19" width="4.13"/>
    <col customWidth="1" min="20" max="20" width="3.25"/>
    <col customWidth="1" min="21" max="21" width="3.88"/>
    <col customWidth="1" min="22" max="22" width="4.0"/>
    <col customWidth="1" min="23" max="23" width="3.38"/>
    <col customWidth="1" min="24" max="24" width="3.5"/>
    <col customWidth="1" min="25" max="25" width="3.25"/>
    <col customWidth="1" min="26" max="26" width="3.5"/>
    <col customWidth="1" min="27" max="27" width="3.63"/>
    <col customWidth="1" min="28" max="100" width="3.38"/>
  </cols>
  <sheetData>
    <row r="1">
      <c r="B1" s="1" t="s">
        <v>0</v>
      </c>
      <c r="E1" s="1" t="s">
        <v>1</v>
      </c>
      <c r="I1" s="1" t="s">
        <v>2</v>
      </c>
      <c r="M1" s="1" t="s">
        <v>3</v>
      </c>
      <c r="Q1" s="1" t="s">
        <v>4</v>
      </c>
      <c r="U1" s="1" t="s">
        <v>5</v>
      </c>
      <c r="Y1" s="1" t="s">
        <v>6</v>
      </c>
      <c r="AC1" s="2" t="s">
        <v>7</v>
      </c>
      <c r="AG1" s="2" t="s">
        <v>8</v>
      </c>
      <c r="AK1" s="2" t="s">
        <v>9</v>
      </c>
      <c r="AO1" s="2" t="s">
        <v>10</v>
      </c>
      <c r="AS1" s="2" t="s">
        <v>11</v>
      </c>
      <c r="AW1" s="2" t="s">
        <v>12</v>
      </c>
      <c r="BA1" s="1" t="s">
        <v>1</v>
      </c>
      <c r="BE1" s="1" t="s">
        <v>2</v>
      </c>
      <c r="BI1" s="1" t="s">
        <v>3</v>
      </c>
      <c r="BM1" s="1" t="s">
        <v>4</v>
      </c>
      <c r="BQ1" s="1" t="s">
        <v>5</v>
      </c>
      <c r="BU1" s="1" t="s">
        <v>6</v>
      </c>
      <c r="BY1" s="2" t="s">
        <v>7</v>
      </c>
      <c r="CC1" s="2" t="s">
        <v>8</v>
      </c>
      <c r="CG1" s="2" t="s">
        <v>9</v>
      </c>
      <c r="CK1" s="2" t="s">
        <v>10</v>
      </c>
      <c r="CO1" s="2" t="s">
        <v>11</v>
      </c>
      <c r="CS1" s="2" t="s">
        <v>12</v>
      </c>
    </row>
    <row r="2" ht="35.25" customHeight="1">
      <c r="A2" s="3"/>
      <c r="B2" s="4"/>
      <c r="C2" s="3"/>
      <c r="D2" s="5" t="s">
        <v>13</v>
      </c>
      <c r="E2" s="6">
        <f>(E4+F4+G4+H4)/120*100</f>
        <v>45.41666667</v>
      </c>
      <c r="I2" s="6">
        <f>(I4+J4+K4+L4)/120*100</f>
        <v>92.5</v>
      </c>
      <c r="M2" s="6">
        <f>(M4+N4+O4+P4)/120*100</f>
        <v>74.16666667</v>
      </c>
      <c r="Q2" s="6">
        <f>(Q4+R4+S4+T4)/120*100</f>
        <v>78.75</v>
      </c>
      <c r="U2" s="6">
        <f>(U4+V4+W4+X4)/120*100</f>
        <v>114.5833333</v>
      </c>
      <c r="Y2" s="6">
        <f>(Y4+Z4+AA4+AB4)/120*100</f>
        <v>123.3333333</v>
      </c>
      <c r="AC2" s="6">
        <f>(AC4+AD4+AE4+AF4)/120*100</f>
        <v>93.75</v>
      </c>
      <c r="AG2" s="6">
        <f>(AG4+AH4+AI4+AJ4)/120*100</f>
        <v>82.91666667</v>
      </c>
      <c r="AK2" s="6">
        <f>(AK4+AL4+AM4+AN4)/120*100</f>
        <v>93.33333333</v>
      </c>
      <c r="AO2" s="6">
        <f>(AO4+AP4+AQ4+AR4)/120*100</f>
        <v>71.25</v>
      </c>
      <c r="AS2" s="6">
        <f>(AS4+AT4+AU4+AV4)/120*100</f>
        <v>54.58333333</v>
      </c>
      <c r="AW2" s="6">
        <f>(AW4+AX4+AY4+AZ4)/120*100</f>
        <v>23.33333333</v>
      </c>
      <c r="BA2" s="6">
        <f>(BA4+BB4+BC4+BD4)/120*100</f>
        <v>45.41666667</v>
      </c>
      <c r="BE2" s="6">
        <f>(BE4+BF4+BG4+BH4)/120*100</f>
        <v>92.5</v>
      </c>
      <c r="BI2" s="6">
        <f>(BI4+BJ4+BK4+BL4)/120*100</f>
        <v>62.5</v>
      </c>
      <c r="BM2" s="6">
        <f>(BM4+BN4+BO4+BP4)/120*100</f>
        <v>78.75</v>
      </c>
      <c r="BQ2" s="6">
        <f>(BQ4+BR4+BS4+BT4)/120*100</f>
        <v>112.0833333</v>
      </c>
      <c r="BU2" s="6">
        <f>(BU4+BV4+BW4+BX4)/120*100</f>
        <v>121.25</v>
      </c>
      <c r="BY2" s="6">
        <f>(BY4+BZ4+CA4+CB4)/120*100</f>
        <v>93.75</v>
      </c>
      <c r="CC2" s="6">
        <f>(CC4+CD4+CE4+CF4)/120*100</f>
        <v>82.91666667</v>
      </c>
      <c r="CG2" s="6">
        <f>(CG4+CH4+CI4+CJ4)/120*100</f>
        <v>68.33333333</v>
      </c>
      <c r="CK2" s="6">
        <f>(CK4+CL4+CM4+CN4)/120*100</f>
        <v>82.08333333</v>
      </c>
      <c r="CO2" s="6">
        <f>(CO4+CP4+CQ4+CR4)/120*100</f>
        <v>47.08333333</v>
      </c>
      <c r="CS2" s="6">
        <f>(CS4+CT4+CU4+CV4)/120*100</f>
        <v>18.33333333</v>
      </c>
    </row>
    <row r="3" ht="54.75" customHeight="1">
      <c r="A3" s="3" t="s">
        <v>14</v>
      </c>
      <c r="B3" s="4" t="s">
        <v>15</v>
      </c>
      <c r="C3" s="3" t="s">
        <v>16</v>
      </c>
      <c r="D3" s="5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18</v>
      </c>
      <c r="J3" s="7" t="s">
        <v>19</v>
      </c>
      <c r="K3" s="7" t="s">
        <v>20</v>
      </c>
      <c r="L3" s="7" t="s">
        <v>21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18</v>
      </c>
      <c r="V3" s="7" t="s">
        <v>19</v>
      </c>
      <c r="W3" s="7" t="s">
        <v>20</v>
      </c>
      <c r="X3" s="7" t="s">
        <v>21</v>
      </c>
      <c r="Y3" s="7" t="s">
        <v>18</v>
      </c>
      <c r="Z3" s="7" t="s">
        <v>19</v>
      </c>
      <c r="AA3" s="7" t="s">
        <v>20</v>
      </c>
      <c r="AB3" s="7" t="s">
        <v>21</v>
      </c>
      <c r="AC3" s="8" t="s">
        <v>18</v>
      </c>
      <c r="AD3" s="8" t="s">
        <v>19</v>
      </c>
      <c r="AE3" s="8" t="s">
        <v>20</v>
      </c>
      <c r="AF3" s="8" t="s">
        <v>21</v>
      </c>
      <c r="AG3" s="8" t="s">
        <v>18</v>
      </c>
      <c r="AH3" s="8" t="s">
        <v>19</v>
      </c>
      <c r="AI3" s="8" t="s">
        <v>20</v>
      </c>
      <c r="AJ3" s="8" t="s">
        <v>21</v>
      </c>
      <c r="AK3" s="8" t="s">
        <v>18</v>
      </c>
      <c r="AL3" s="8" t="s">
        <v>19</v>
      </c>
      <c r="AM3" s="8" t="s">
        <v>20</v>
      </c>
      <c r="AN3" s="8" t="s">
        <v>21</v>
      </c>
      <c r="AO3" s="8" t="s">
        <v>18</v>
      </c>
      <c r="AP3" s="8" t="s">
        <v>19</v>
      </c>
      <c r="AQ3" s="8" t="s">
        <v>20</v>
      </c>
      <c r="AR3" s="8" t="s">
        <v>21</v>
      </c>
      <c r="AS3" s="8" t="s">
        <v>18</v>
      </c>
      <c r="AT3" s="8" t="s">
        <v>19</v>
      </c>
      <c r="AU3" s="8" t="s">
        <v>20</v>
      </c>
      <c r="AV3" s="8" t="s">
        <v>21</v>
      </c>
      <c r="AW3" s="8" t="s">
        <v>18</v>
      </c>
      <c r="AX3" s="8" t="s">
        <v>19</v>
      </c>
      <c r="AY3" s="8" t="s">
        <v>20</v>
      </c>
      <c r="AZ3" s="8" t="s">
        <v>21</v>
      </c>
      <c r="BA3" s="7" t="s">
        <v>18</v>
      </c>
      <c r="BB3" s="7" t="s">
        <v>19</v>
      </c>
      <c r="BC3" s="7" t="s">
        <v>20</v>
      </c>
      <c r="BD3" s="7" t="s">
        <v>21</v>
      </c>
      <c r="BE3" s="7" t="s">
        <v>18</v>
      </c>
      <c r="BF3" s="7" t="s">
        <v>19</v>
      </c>
      <c r="BG3" s="7" t="s">
        <v>20</v>
      </c>
      <c r="BH3" s="7" t="s">
        <v>21</v>
      </c>
      <c r="BI3" s="7" t="s">
        <v>18</v>
      </c>
      <c r="BJ3" s="7" t="s">
        <v>19</v>
      </c>
      <c r="BK3" s="7" t="s">
        <v>20</v>
      </c>
      <c r="BL3" s="7" t="s">
        <v>21</v>
      </c>
      <c r="BM3" s="7" t="s">
        <v>18</v>
      </c>
      <c r="BN3" s="7" t="s">
        <v>19</v>
      </c>
      <c r="BO3" s="7" t="s">
        <v>20</v>
      </c>
      <c r="BP3" s="7" t="s">
        <v>21</v>
      </c>
      <c r="BQ3" s="7" t="s">
        <v>18</v>
      </c>
      <c r="BR3" s="7" t="s">
        <v>19</v>
      </c>
      <c r="BS3" s="7" t="s">
        <v>20</v>
      </c>
      <c r="BT3" s="7" t="s">
        <v>21</v>
      </c>
      <c r="BU3" s="7" t="s">
        <v>18</v>
      </c>
      <c r="BV3" s="7" t="s">
        <v>19</v>
      </c>
      <c r="BW3" s="7" t="s">
        <v>20</v>
      </c>
      <c r="BX3" s="7" t="s">
        <v>21</v>
      </c>
      <c r="BY3" s="8" t="s">
        <v>18</v>
      </c>
      <c r="BZ3" s="8" t="s">
        <v>19</v>
      </c>
      <c r="CA3" s="8" t="s">
        <v>20</v>
      </c>
      <c r="CB3" s="8" t="s">
        <v>21</v>
      </c>
      <c r="CC3" s="8" t="s">
        <v>18</v>
      </c>
      <c r="CD3" s="8" t="s">
        <v>19</v>
      </c>
      <c r="CE3" s="8" t="s">
        <v>20</v>
      </c>
      <c r="CF3" s="8" t="s">
        <v>21</v>
      </c>
      <c r="CG3" s="8" t="s">
        <v>18</v>
      </c>
      <c r="CH3" s="8" t="s">
        <v>19</v>
      </c>
      <c r="CI3" s="8" t="s">
        <v>20</v>
      </c>
      <c r="CJ3" s="8" t="s">
        <v>21</v>
      </c>
      <c r="CK3" s="8" t="s">
        <v>18</v>
      </c>
      <c r="CL3" s="8" t="s">
        <v>19</v>
      </c>
      <c r="CM3" s="8" t="s">
        <v>20</v>
      </c>
      <c r="CN3" s="8" t="s">
        <v>21</v>
      </c>
      <c r="CO3" s="8" t="s">
        <v>18</v>
      </c>
      <c r="CP3" s="8" t="s">
        <v>19</v>
      </c>
      <c r="CQ3" s="8" t="s">
        <v>20</v>
      </c>
      <c r="CR3" s="8" t="s">
        <v>21</v>
      </c>
      <c r="CS3" s="8" t="s">
        <v>18</v>
      </c>
      <c r="CT3" s="8" t="s">
        <v>19</v>
      </c>
      <c r="CU3" s="8" t="s">
        <v>20</v>
      </c>
      <c r="CV3" s="8" t="s">
        <v>21</v>
      </c>
    </row>
    <row r="4" ht="28.5" customHeight="1">
      <c r="A4" s="1"/>
      <c r="C4" s="1" t="s">
        <v>22</v>
      </c>
      <c r="D4" s="7"/>
      <c r="E4" s="9">
        <f t="shared" ref="E4:CV4" si="1">sum(E5:E99)</f>
        <v>54.5</v>
      </c>
      <c r="F4" s="9">
        <f t="shared" si="1"/>
        <v>0</v>
      </c>
      <c r="G4" s="9">
        <f t="shared" si="1"/>
        <v>0</v>
      </c>
      <c r="H4" s="9">
        <f t="shared" si="1"/>
        <v>0</v>
      </c>
      <c r="I4" s="9">
        <f t="shared" si="1"/>
        <v>111</v>
      </c>
      <c r="J4" s="9">
        <f t="shared" si="1"/>
        <v>0</v>
      </c>
      <c r="K4" s="9">
        <f t="shared" si="1"/>
        <v>0</v>
      </c>
      <c r="L4" s="9">
        <f t="shared" si="1"/>
        <v>0</v>
      </c>
      <c r="M4" s="9">
        <f t="shared" si="1"/>
        <v>89</v>
      </c>
      <c r="N4" s="9">
        <f t="shared" si="1"/>
        <v>0</v>
      </c>
      <c r="O4" s="9">
        <f t="shared" si="1"/>
        <v>0</v>
      </c>
      <c r="P4" s="9">
        <f t="shared" si="1"/>
        <v>0</v>
      </c>
      <c r="Q4" s="9">
        <f t="shared" si="1"/>
        <v>88.5</v>
      </c>
      <c r="R4" s="9">
        <f t="shared" si="1"/>
        <v>6</v>
      </c>
      <c r="S4" s="9">
        <f t="shared" si="1"/>
        <v>0</v>
      </c>
      <c r="T4" s="9">
        <f t="shared" si="1"/>
        <v>0</v>
      </c>
      <c r="U4" s="9">
        <f t="shared" si="1"/>
        <v>137.5</v>
      </c>
      <c r="V4" s="9">
        <f t="shared" si="1"/>
        <v>0</v>
      </c>
      <c r="W4" s="9">
        <f t="shared" si="1"/>
        <v>0</v>
      </c>
      <c r="X4" s="9">
        <f t="shared" si="1"/>
        <v>0</v>
      </c>
      <c r="Y4" s="9">
        <f t="shared" si="1"/>
        <v>148</v>
      </c>
      <c r="Z4" s="9">
        <f t="shared" si="1"/>
        <v>0</v>
      </c>
      <c r="AA4" s="9">
        <f t="shared" si="1"/>
        <v>0</v>
      </c>
      <c r="AB4" s="9">
        <f t="shared" si="1"/>
        <v>0</v>
      </c>
      <c r="AC4" s="9">
        <f t="shared" si="1"/>
        <v>112.5</v>
      </c>
      <c r="AD4" s="9">
        <f t="shared" si="1"/>
        <v>0</v>
      </c>
      <c r="AE4" s="9">
        <f t="shared" si="1"/>
        <v>0</v>
      </c>
      <c r="AF4" s="9">
        <f t="shared" si="1"/>
        <v>0</v>
      </c>
      <c r="AG4" s="9">
        <f t="shared" si="1"/>
        <v>99.5</v>
      </c>
      <c r="AH4" s="9">
        <f t="shared" si="1"/>
        <v>0</v>
      </c>
      <c r="AI4" s="9">
        <f t="shared" si="1"/>
        <v>0</v>
      </c>
      <c r="AJ4" s="9">
        <f t="shared" si="1"/>
        <v>0</v>
      </c>
      <c r="AK4" s="9">
        <f t="shared" si="1"/>
        <v>112</v>
      </c>
      <c r="AL4" s="9">
        <f t="shared" si="1"/>
        <v>0</v>
      </c>
      <c r="AM4" s="9">
        <f t="shared" si="1"/>
        <v>0</v>
      </c>
      <c r="AN4" s="9">
        <f t="shared" si="1"/>
        <v>0</v>
      </c>
      <c r="AO4" s="9">
        <f t="shared" si="1"/>
        <v>85.5</v>
      </c>
      <c r="AP4" s="9">
        <f t="shared" si="1"/>
        <v>0</v>
      </c>
      <c r="AQ4" s="9">
        <f t="shared" si="1"/>
        <v>0</v>
      </c>
      <c r="AR4" s="9">
        <f t="shared" si="1"/>
        <v>0</v>
      </c>
      <c r="AS4" s="9">
        <f t="shared" si="1"/>
        <v>65.5</v>
      </c>
      <c r="AT4" s="9">
        <f t="shared" si="1"/>
        <v>0</v>
      </c>
      <c r="AU4" s="9">
        <f t="shared" si="1"/>
        <v>0</v>
      </c>
      <c r="AV4" s="9">
        <f t="shared" si="1"/>
        <v>0</v>
      </c>
      <c r="AW4" s="9">
        <f t="shared" si="1"/>
        <v>28</v>
      </c>
      <c r="AX4" s="9">
        <f t="shared" si="1"/>
        <v>0</v>
      </c>
      <c r="AY4" s="9">
        <f t="shared" si="1"/>
        <v>0</v>
      </c>
      <c r="AZ4" s="9">
        <f t="shared" si="1"/>
        <v>0</v>
      </c>
      <c r="BA4" s="9">
        <f t="shared" si="1"/>
        <v>54.5</v>
      </c>
      <c r="BB4" s="9">
        <f t="shared" si="1"/>
        <v>0</v>
      </c>
      <c r="BC4" s="9">
        <f t="shared" si="1"/>
        <v>0</v>
      </c>
      <c r="BD4" s="9">
        <f t="shared" si="1"/>
        <v>0</v>
      </c>
      <c r="BE4" s="9">
        <f t="shared" si="1"/>
        <v>111</v>
      </c>
      <c r="BF4" s="9">
        <f t="shared" si="1"/>
        <v>0</v>
      </c>
      <c r="BG4" s="9">
        <f t="shared" si="1"/>
        <v>0</v>
      </c>
      <c r="BH4" s="9">
        <f t="shared" si="1"/>
        <v>0</v>
      </c>
      <c r="BI4" s="9">
        <f t="shared" si="1"/>
        <v>75</v>
      </c>
      <c r="BJ4" s="9">
        <f t="shared" si="1"/>
        <v>0</v>
      </c>
      <c r="BK4" s="9">
        <f t="shared" si="1"/>
        <v>0</v>
      </c>
      <c r="BL4" s="9">
        <f t="shared" si="1"/>
        <v>0</v>
      </c>
      <c r="BM4" s="9">
        <f t="shared" si="1"/>
        <v>90.5</v>
      </c>
      <c r="BN4" s="9">
        <f t="shared" si="1"/>
        <v>4</v>
      </c>
      <c r="BO4" s="9">
        <f t="shared" si="1"/>
        <v>0</v>
      </c>
      <c r="BP4" s="9">
        <f t="shared" si="1"/>
        <v>0</v>
      </c>
      <c r="BQ4" s="9">
        <f t="shared" si="1"/>
        <v>134.5</v>
      </c>
      <c r="BR4" s="9">
        <f t="shared" si="1"/>
        <v>0</v>
      </c>
      <c r="BS4" s="9">
        <f t="shared" si="1"/>
        <v>0</v>
      </c>
      <c r="BT4" s="9">
        <f t="shared" si="1"/>
        <v>0</v>
      </c>
      <c r="BU4" s="9">
        <f t="shared" si="1"/>
        <v>145.5</v>
      </c>
      <c r="BV4" s="9">
        <f t="shared" si="1"/>
        <v>0</v>
      </c>
      <c r="BW4" s="9">
        <f t="shared" si="1"/>
        <v>0</v>
      </c>
      <c r="BX4" s="9">
        <f t="shared" si="1"/>
        <v>0</v>
      </c>
      <c r="BY4" s="9">
        <f t="shared" si="1"/>
        <v>112.5</v>
      </c>
      <c r="BZ4" s="9">
        <f t="shared" si="1"/>
        <v>0</v>
      </c>
      <c r="CA4" s="9">
        <f t="shared" si="1"/>
        <v>0</v>
      </c>
      <c r="CB4" s="9">
        <f t="shared" si="1"/>
        <v>0</v>
      </c>
      <c r="CC4" s="9">
        <f t="shared" si="1"/>
        <v>99.5</v>
      </c>
      <c r="CD4" s="9">
        <f t="shared" si="1"/>
        <v>0</v>
      </c>
      <c r="CE4" s="9">
        <f t="shared" si="1"/>
        <v>0</v>
      </c>
      <c r="CF4" s="9">
        <f t="shared" si="1"/>
        <v>0</v>
      </c>
      <c r="CG4" s="9">
        <f t="shared" si="1"/>
        <v>82</v>
      </c>
      <c r="CH4" s="9">
        <f t="shared" si="1"/>
        <v>0</v>
      </c>
      <c r="CI4" s="9">
        <f t="shared" si="1"/>
        <v>0</v>
      </c>
      <c r="CJ4" s="9">
        <f t="shared" si="1"/>
        <v>0</v>
      </c>
      <c r="CK4" s="9">
        <f t="shared" si="1"/>
        <v>98.5</v>
      </c>
      <c r="CL4" s="9">
        <f t="shared" si="1"/>
        <v>0</v>
      </c>
      <c r="CM4" s="9">
        <f t="shared" si="1"/>
        <v>0</v>
      </c>
      <c r="CN4" s="9">
        <f t="shared" si="1"/>
        <v>0</v>
      </c>
      <c r="CO4" s="9">
        <f t="shared" si="1"/>
        <v>56.5</v>
      </c>
      <c r="CP4" s="9">
        <f t="shared" si="1"/>
        <v>0</v>
      </c>
      <c r="CQ4" s="9">
        <f t="shared" si="1"/>
        <v>0</v>
      </c>
      <c r="CR4" s="9">
        <f t="shared" si="1"/>
        <v>0</v>
      </c>
      <c r="CS4" s="9">
        <f t="shared" si="1"/>
        <v>22</v>
      </c>
      <c r="CT4" s="9">
        <f t="shared" si="1"/>
        <v>0</v>
      </c>
      <c r="CU4" s="9">
        <f t="shared" si="1"/>
        <v>0</v>
      </c>
      <c r="CV4" s="9">
        <f t="shared" si="1"/>
        <v>0</v>
      </c>
    </row>
    <row r="5" ht="28.5" customHeight="1">
      <c r="A5" s="10" t="s">
        <v>23</v>
      </c>
      <c r="B5" s="11"/>
      <c r="C5" s="10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 t="str">
        <f>$D5</f>
        <v/>
      </c>
      <c r="AM5" s="13"/>
      <c r="AN5" s="13"/>
      <c r="AO5" s="14" t="str">
        <f t="shared" ref="AO5:AP5" si="2">$D5</f>
        <v/>
      </c>
      <c r="AP5" s="14" t="str">
        <f t="shared" si="2"/>
        <v/>
      </c>
      <c r="AQ5" s="13"/>
      <c r="AR5" s="14" t="str">
        <f t="shared" ref="AR5:AS5" si="3">$D5</f>
        <v/>
      </c>
      <c r="AS5" s="14" t="str">
        <f t="shared" si="3"/>
        <v/>
      </c>
      <c r="AT5" s="13"/>
      <c r="AU5" s="13"/>
      <c r="AV5" s="13"/>
      <c r="AW5" s="11"/>
      <c r="AX5" s="11"/>
      <c r="AY5" s="11"/>
      <c r="AZ5" s="11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</row>
    <row r="6" ht="24.75" customHeight="1">
      <c r="A6" s="10" t="s">
        <v>24</v>
      </c>
      <c r="B6" s="10">
        <v>6.0</v>
      </c>
      <c r="C6" s="10" t="s">
        <v>25</v>
      </c>
      <c r="D6" s="12">
        <v>8.0</v>
      </c>
      <c r="E6" s="14">
        <f>$D6</f>
        <v>8</v>
      </c>
      <c r="F6" s="15"/>
      <c r="G6" s="15"/>
      <c r="H6" s="15"/>
      <c r="I6" s="15"/>
      <c r="J6" s="15"/>
      <c r="K6" s="15"/>
      <c r="L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Z6" s="15"/>
      <c r="AA6" s="15"/>
      <c r="AB6" s="15"/>
      <c r="AC6" s="14">
        <f>$D6</f>
        <v>8</v>
      </c>
      <c r="AD6" s="15"/>
      <c r="AE6" s="15"/>
      <c r="AF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4">
        <f>$D6</f>
        <v>8</v>
      </c>
      <c r="BB6" s="15"/>
      <c r="BC6" s="15"/>
      <c r="BD6" s="15"/>
      <c r="BE6" s="15"/>
      <c r="BF6" s="15"/>
      <c r="BG6" s="15"/>
      <c r="BH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4">
        <f>$D6</f>
        <v>8</v>
      </c>
      <c r="BZ6" s="15"/>
      <c r="CA6" s="15"/>
      <c r="CB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>
      <c r="A7" s="10" t="s">
        <v>26</v>
      </c>
      <c r="B7" s="10">
        <v>6.0</v>
      </c>
      <c r="C7" s="10" t="s">
        <v>27</v>
      </c>
      <c r="D7" s="12">
        <v>4.0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4">
        <f>$D7</f>
        <v>4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2"/>
      <c r="AH7" s="15"/>
      <c r="AI7" s="15"/>
      <c r="AJ7" s="15"/>
      <c r="AK7" s="15"/>
      <c r="AL7" s="15"/>
      <c r="AM7" s="15"/>
      <c r="AN7" s="15"/>
      <c r="AO7" s="14">
        <f>$D7</f>
        <v>4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4">
        <f>$D7</f>
        <v>4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4">
        <f>$D7</f>
        <v>4</v>
      </c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>
      <c r="A8" s="10" t="s">
        <v>26</v>
      </c>
      <c r="B8" s="10">
        <v>12.0</v>
      </c>
      <c r="C8" s="10" t="s">
        <v>28</v>
      </c>
      <c r="D8" s="12">
        <v>8.0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4">
        <f>$D8</f>
        <v>8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4">
        <f>$D8</f>
        <v>8</v>
      </c>
      <c r="CP8" s="15"/>
      <c r="CQ8" s="15"/>
      <c r="CR8" s="15"/>
      <c r="CS8" s="15"/>
      <c r="CT8" s="15"/>
      <c r="CU8" s="15"/>
      <c r="CV8" s="15"/>
    </row>
    <row r="9">
      <c r="A9" s="10" t="s">
        <v>26</v>
      </c>
      <c r="B9" s="10">
        <v>12.0</v>
      </c>
      <c r="C9" s="10" t="s">
        <v>29</v>
      </c>
      <c r="D9" s="10">
        <v>2.0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4">
        <f t="shared" ref="Q9:Q11" si="4">$D9</f>
        <v>2</v>
      </c>
      <c r="R9" s="15"/>
      <c r="S9" s="15"/>
      <c r="T9" s="15"/>
      <c r="U9" s="16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4">
        <f t="shared" ref="BN9:BN10" si="5">$D9</f>
        <v>2</v>
      </c>
      <c r="BO9" s="15"/>
      <c r="BP9" s="15"/>
      <c r="BQ9" s="16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>
      <c r="A10" s="10" t="s">
        <v>26</v>
      </c>
      <c r="B10" s="10">
        <v>12.0</v>
      </c>
      <c r="C10" s="10" t="s">
        <v>30</v>
      </c>
      <c r="D10" s="10">
        <v>2.0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>
        <f t="shared" si="4"/>
        <v>2</v>
      </c>
      <c r="R10" s="15"/>
      <c r="S10" s="15"/>
      <c r="T10" s="15"/>
      <c r="U10" s="16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4">
        <f t="shared" si="5"/>
        <v>2</v>
      </c>
      <c r="BO10" s="15"/>
      <c r="BP10" s="15"/>
      <c r="BQ10" s="16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>
      <c r="A11" s="10" t="s">
        <v>26</v>
      </c>
      <c r="B11" s="10">
        <v>12.0</v>
      </c>
      <c r="C11" s="10" t="s">
        <v>31</v>
      </c>
      <c r="D11" s="10">
        <v>1.0</v>
      </c>
      <c r="E11" s="15"/>
      <c r="F11" s="15"/>
      <c r="G11" s="15"/>
      <c r="H11" s="15"/>
      <c r="I11" s="15"/>
      <c r="J11" s="15"/>
      <c r="K11" s="15"/>
      <c r="L11" s="15"/>
      <c r="M11" s="14"/>
      <c r="N11" s="15"/>
      <c r="O11" s="15"/>
      <c r="P11" s="15"/>
      <c r="Q11" s="14">
        <f t="shared" si="4"/>
        <v>1</v>
      </c>
      <c r="R11" s="15"/>
      <c r="S11" s="15"/>
      <c r="T11" s="15"/>
      <c r="U11" s="16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4">
        <f>$D11</f>
        <v>1</v>
      </c>
      <c r="BN11" s="15"/>
      <c r="BO11" s="15"/>
      <c r="BP11" s="15"/>
      <c r="BQ11" s="16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>
      <c r="A12" s="10" t="s">
        <v>32</v>
      </c>
      <c r="B12" s="10">
        <v>12.0</v>
      </c>
      <c r="C12" s="10" t="s">
        <v>33</v>
      </c>
      <c r="D12" s="12">
        <v>3.0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4">
        <f>$D12</f>
        <v>3</v>
      </c>
      <c r="Z12" s="15"/>
      <c r="AA12" s="15"/>
      <c r="AB12" s="15"/>
      <c r="AC12" s="15"/>
      <c r="AD12" s="15"/>
      <c r="AE12" s="15"/>
      <c r="AF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4">
        <f>$D12</f>
        <v>3</v>
      </c>
      <c r="BV12" s="15"/>
      <c r="BW12" s="15"/>
      <c r="BX12" s="15"/>
      <c r="BY12" s="15"/>
      <c r="BZ12" s="15"/>
      <c r="CA12" s="15"/>
      <c r="CB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>
      <c r="A13" s="10" t="s">
        <v>32</v>
      </c>
      <c r="B13" s="10">
        <v>12.0</v>
      </c>
      <c r="C13" s="10" t="s">
        <v>34</v>
      </c>
      <c r="D13" s="12">
        <v>20.0</v>
      </c>
      <c r="E13" s="15"/>
      <c r="F13" s="15"/>
      <c r="G13" s="15"/>
      <c r="H13" s="15"/>
      <c r="I13" s="15"/>
      <c r="J13" s="15"/>
      <c r="K13" s="15"/>
      <c r="L13" s="15"/>
      <c r="M13" s="14">
        <f>$D13</f>
        <v>20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4">
        <f>$D13</f>
        <v>20</v>
      </c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>
      <c r="A14" s="10" t="s">
        <v>35</v>
      </c>
      <c r="B14" s="10">
        <v>6.0</v>
      </c>
      <c r="C14" s="10" t="s">
        <v>36</v>
      </c>
      <c r="D14" s="12">
        <v>2.0</v>
      </c>
      <c r="E14" s="15"/>
      <c r="F14" s="15"/>
      <c r="G14" s="15"/>
      <c r="H14" s="15"/>
      <c r="I14" s="14"/>
      <c r="J14" s="15"/>
      <c r="K14" s="15"/>
      <c r="L14" s="15"/>
      <c r="M14" s="15"/>
      <c r="N14" s="15"/>
      <c r="O14" s="15"/>
      <c r="P14" s="15"/>
      <c r="Q14" s="15"/>
      <c r="R14" s="14">
        <f t="shared" ref="R14:R15" si="6">$D14</f>
        <v>2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H14" s="15"/>
      <c r="AI14" s="15"/>
      <c r="AJ14" s="15"/>
      <c r="AK14" s="15"/>
      <c r="AL14" s="15"/>
      <c r="AM14" s="15"/>
      <c r="AN14" s="15"/>
      <c r="AO14" s="17">
        <f>$D14</f>
        <v>2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4"/>
      <c r="BF14" s="15"/>
      <c r="BG14" s="15"/>
      <c r="BH14" s="15"/>
      <c r="BI14" s="15"/>
      <c r="BJ14" s="15"/>
      <c r="BK14" s="15"/>
      <c r="BL14" s="15"/>
      <c r="BM14" s="14">
        <f t="shared" ref="BM14:BM15" si="7">$D14</f>
        <v>2</v>
      </c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D14" s="15"/>
      <c r="CE14" s="15"/>
      <c r="CF14" s="15"/>
      <c r="CG14" s="15"/>
      <c r="CH14" s="15"/>
      <c r="CI14" s="15"/>
      <c r="CJ14" s="15"/>
      <c r="CK14" s="14">
        <f>$D14</f>
        <v>2</v>
      </c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>
      <c r="A15" s="10" t="s">
        <v>35</v>
      </c>
      <c r="B15" s="10">
        <v>12.0</v>
      </c>
      <c r="C15" s="10" t="s">
        <v>37</v>
      </c>
      <c r="D15" s="12">
        <v>4.0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4">
        <f t="shared" si="6"/>
        <v>4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H15" s="15"/>
      <c r="AI15" s="15"/>
      <c r="AJ15" s="15"/>
      <c r="AK15" s="15"/>
      <c r="AL15" s="15"/>
      <c r="AM15" s="15"/>
      <c r="AN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4">
        <f t="shared" si="7"/>
        <v>4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>
      <c r="A16" s="10" t="s">
        <v>35</v>
      </c>
      <c r="B16" s="10">
        <v>6.0</v>
      </c>
      <c r="C16" s="10" t="s">
        <v>38</v>
      </c>
      <c r="D16" s="12">
        <v>2.0</v>
      </c>
      <c r="E16" s="15"/>
      <c r="F16" s="15"/>
      <c r="G16" s="15"/>
      <c r="H16" s="15"/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7">
        <f>$D16</f>
        <v>2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4">
        <f>$D16</f>
        <v>2</v>
      </c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>
      <c r="A17" s="10" t="s">
        <v>35</v>
      </c>
      <c r="B17" s="10">
        <v>12.0</v>
      </c>
      <c r="C17" s="10" t="s">
        <v>39</v>
      </c>
      <c r="D17" s="12">
        <v>4.0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4">
        <f>$D17</f>
        <v>4</v>
      </c>
      <c r="Z17" s="15"/>
      <c r="AA17" s="15"/>
      <c r="AB17" s="15"/>
      <c r="AC17" s="15"/>
      <c r="AD17" s="15"/>
      <c r="AE17" s="15"/>
      <c r="AF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4">
        <f>$D17</f>
        <v>4</v>
      </c>
      <c r="BV17" s="15"/>
      <c r="BW17" s="15"/>
      <c r="BX17" s="15"/>
      <c r="BY17" s="15"/>
      <c r="BZ17" s="15"/>
      <c r="CA17" s="15"/>
      <c r="CB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>
      <c r="A18" s="10" t="s">
        <v>35</v>
      </c>
      <c r="B18" s="10">
        <v>12.0</v>
      </c>
      <c r="C18" s="10" t="s">
        <v>40</v>
      </c>
      <c r="D18" s="12">
        <v>2.0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4">
        <f>$D18</f>
        <v>2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4">
        <f>$D18</f>
        <v>2</v>
      </c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>
      <c r="A19" s="10" t="s">
        <v>41</v>
      </c>
      <c r="B19" s="10">
        <v>12.0</v>
      </c>
      <c r="C19" s="10" t="s">
        <v>42</v>
      </c>
      <c r="D19" s="10">
        <v>11.0</v>
      </c>
      <c r="E19" s="15"/>
      <c r="F19" s="15"/>
      <c r="G19" s="15"/>
      <c r="H19" s="15"/>
      <c r="I19" s="15"/>
      <c r="J19" s="15"/>
      <c r="K19" s="15"/>
      <c r="L19" s="15"/>
      <c r="M19" s="14">
        <f>$D19</f>
        <v>11</v>
      </c>
      <c r="N19" s="15"/>
      <c r="O19" s="15"/>
      <c r="P19" s="15"/>
      <c r="Q19" s="15"/>
      <c r="R19" s="15"/>
      <c r="S19" s="15"/>
      <c r="T19" s="15"/>
      <c r="U19" s="16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4">
        <f>$D19</f>
        <v>11</v>
      </c>
      <c r="BJ19" s="15"/>
      <c r="BK19" s="15"/>
      <c r="BL19" s="15"/>
      <c r="BM19" s="15"/>
      <c r="BN19" s="15"/>
      <c r="BO19" s="15"/>
      <c r="BP19" s="15"/>
      <c r="BQ19" s="16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>
      <c r="A20" s="10" t="s">
        <v>43</v>
      </c>
      <c r="B20" s="10">
        <v>12.0</v>
      </c>
      <c r="C20" s="10" t="s">
        <v>44</v>
      </c>
      <c r="D20" s="12">
        <v>23.0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4">
        <f>$D20</f>
        <v>23</v>
      </c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>
      <c r="A21" s="10" t="s">
        <v>43</v>
      </c>
      <c r="B21" s="10">
        <v>12.0</v>
      </c>
      <c r="C21" s="1" t="s">
        <v>45</v>
      </c>
      <c r="D21" s="10">
        <v>9.0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4">
        <f>$D21</f>
        <v>9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6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4">
        <f>$D21</f>
        <v>9</v>
      </c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>
      <c r="A22" s="10" t="s">
        <v>43</v>
      </c>
      <c r="B22" s="10">
        <v>6.0</v>
      </c>
      <c r="C22" s="1" t="s">
        <v>46</v>
      </c>
      <c r="D22" s="10">
        <v>2.0</v>
      </c>
      <c r="E22" s="15"/>
      <c r="F22" s="15"/>
      <c r="G22" s="15"/>
      <c r="H22" s="15"/>
      <c r="I22" s="15"/>
      <c r="J22" s="15"/>
      <c r="K22" s="15"/>
      <c r="L22" s="15"/>
      <c r="M22" s="14">
        <f>$D22</f>
        <v>2</v>
      </c>
      <c r="N22" s="15"/>
      <c r="O22" s="15"/>
      <c r="P22" s="15"/>
      <c r="Q22" s="15"/>
      <c r="R22" s="15"/>
      <c r="S22" s="15"/>
      <c r="T22" s="15"/>
      <c r="U22" s="16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4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4">
        <f>$D22</f>
        <v>2</v>
      </c>
      <c r="BJ22" s="15"/>
      <c r="BK22" s="15"/>
      <c r="BL22" s="15"/>
      <c r="BM22" s="15"/>
      <c r="BN22" s="15"/>
      <c r="BO22" s="15"/>
      <c r="BP22" s="15"/>
      <c r="BQ22" s="16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>
      <c r="A23" s="10" t="s">
        <v>43</v>
      </c>
      <c r="B23" s="10">
        <v>12.0</v>
      </c>
      <c r="C23" s="1" t="s">
        <v>46</v>
      </c>
      <c r="D23" s="10">
        <v>11.0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4">
        <f>$D23</f>
        <v>11</v>
      </c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6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4">
        <f>$D23</f>
        <v>11</v>
      </c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>
      <c r="A24" s="10" t="s">
        <v>43</v>
      </c>
      <c r="B24" s="10">
        <v>6.0</v>
      </c>
      <c r="C24" s="1" t="s">
        <v>47</v>
      </c>
      <c r="D24" s="10">
        <v>2.0</v>
      </c>
      <c r="E24" s="15"/>
      <c r="F24" s="15"/>
      <c r="G24" s="15"/>
      <c r="H24" s="15"/>
      <c r="I24" s="15"/>
      <c r="J24" s="15"/>
      <c r="K24" s="15"/>
      <c r="L24" s="15"/>
      <c r="M24" s="14">
        <f>$D24</f>
        <v>2</v>
      </c>
      <c r="N24" s="15"/>
      <c r="O24" s="15"/>
      <c r="P24" s="15"/>
      <c r="Q24" s="15"/>
      <c r="R24" s="15"/>
      <c r="S24" s="15"/>
      <c r="T24" s="15"/>
      <c r="U24" s="16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4">
        <f>$D24</f>
        <v>2</v>
      </c>
      <c r="BJ24" s="15"/>
      <c r="BK24" s="15"/>
      <c r="BL24" s="15"/>
      <c r="BM24" s="15"/>
      <c r="BN24" s="15"/>
      <c r="BO24" s="15"/>
      <c r="BP24" s="15"/>
      <c r="BQ24" s="16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>
      <c r="A25" s="10" t="s">
        <v>43</v>
      </c>
      <c r="B25" s="10">
        <v>12.0</v>
      </c>
      <c r="C25" s="1" t="s">
        <v>48</v>
      </c>
      <c r="D25" s="10">
        <v>8.0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  <c r="V25" s="15"/>
      <c r="W25" s="15"/>
      <c r="X25" s="15"/>
      <c r="Y25" s="15"/>
      <c r="Z25" s="15"/>
      <c r="AA25" s="15"/>
      <c r="AB25" s="15"/>
      <c r="AC25" s="14">
        <f>$D25</f>
        <v>8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6"/>
      <c r="BR25" s="15"/>
      <c r="BS25" s="15"/>
      <c r="BT25" s="15"/>
      <c r="BU25" s="15"/>
      <c r="BV25" s="15"/>
      <c r="BW25" s="15"/>
      <c r="BX25" s="15"/>
      <c r="BY25" s="14">
        <f>$D25</f>
        <v>8</v>
      </c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>
      <c r="A26" s="10" t="s">
        <v>43</v>
      </c>
      <c r="B26" s="10">
        <v>6.0</v>
      </c>
      <c r="C26" s="1" t="s">
        <v>49</v>
      </c>
      <c r="D26" s="10">
        <v>3.0</v>
      </c>
      <c r="E26" s="15"/>
      <c r="F26" s="15"/>
      <c r="G26" s="15"/>
      <c r="H26" s="15"/>
      <c r="I26" s="14">
        <f>$D26</f>
        <v>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6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4">
        <f>$D26</f>
        <v>3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6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>
      <c r="A27" s="10" t="s">
        <v>43</v>
      </c>
      <c r="B27" s="10">
        <v>12.0</v>
      </c>
      <c r="C27" s="1" t="s">
        <v>50</v>
      </c>
      <c r="D27" s="10">
        <v>4.0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15"/>
      <c r="W27" s="15"/>
      <c r="X27" s="15"/>
      <c r="Y27" s="15"/>
      <c r="Z27" s="15"/>
      <c r="AA27" s="15"/>
      <c r="AB27" s="15"/>
      <c r="AC27" s="14">
        <f>$D27</f>
        <v>4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6"/>
      <c r="BR27" s="15"/>
      <c r="BS27" s="15"/>
      <c r="BT27" s="15"/>
      <c r="BU27" s="15"/>
      <c r="BV27" s="15"/>
      <c r="BW27" s="15"/>
      <c r="BX27" s="15"/>
      <c r="BY27" s="14">
        <f>$D27</f>
        <v>4</v>
      </c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>
      <c r="A28" s="10" t="s">
        <v>43</v>
      </c>
      <c r="B28" s="10">
        <v>6.0</v>
      </c>
      <c r="C28" s="10" t="s">
        <v>51</v>
      </c>
      <c r="D28" s="12">
        <v>4.0</v>
      </c>
      <c r="E28" s="15"/>
      <c r="F28" s="15"/>
      <c r="G28" s="15"/>
      <c r="H28" s="15"/>
      <c r="I28" s="14">
        <f>$D28</f>
        <v>4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4">
        <f>$D28</f>
        <v>4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4">
        <f>$D28</f>
        <v>4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4">
        <f>$D28</f>
        <v>4</v>
      </c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>
      <c r="A29" s="10" t="s">
        <v>43</v>
      </c>
      <c r="B29" s="10">
        <v>12.0</v>
      </c>
      <c r="C29" s="10" t="s">
        <v>52</v>
      </c>
      <c r="D29" s="10">
        <v>3.0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4">
        <f t="shared" ref="AK29:AK30" si="8">$D29</f>
        <v>3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4">
        <f t="shared" ref="CG29:CG30" si="9">$D29</f>
        <v>3</v>
      </c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>
      <c r="A30" s="10" t="s">
        <v>43</v>
      </c>
      <c r="B30" s="10">
        <v>12.0</v>
      </c>
      <c r="C30" s="10" t="s">
        <v>53</v>
      </c>
      <c r="D30" s="12">
        <v>3.0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4">
        <f t="shared" si="8"/>
        <v>3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4">
        <f t="shared" si="9"/>
        <v>3</v>
      </c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>
      <c r="A31" s="10" t="s">
        <v>43</v>
      </c>
      <c r="B31" s="10">
        <v>3.0</v>
      </c>
      <c r="C31" s="10" t="s">
        <v>54</v>
      </c>
      <c r="D31" s="12">
        <v>2.0</v>
      </c>
      <c r="E31" s="15"/>
      <c r="F31" s="15"/>
      <c r="G31" s="15"/>
      <c r="H31" s="15"/>
      <c r="I31" s="14">
        <f>$D31</f>
        <v>2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4">
        <f>$D31</f>
        <v>2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4">
        <f>$D31</f>
        <v>2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4">
        <f>$D31</f>
        <v>2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4">
        <f>$D31</f>
        <v>2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4">
        <f>$D31</f>
        <v>2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4">
        <f>$D31</f>
        <v>2</v>
      </c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4">
        <f>$D31</f>
        <v>2</v>
      </c>
      <c r="CP31" s="15"/>
      <c r="CQ31" s="15"/>
      <c r="CR31" s="15"/>
      <c r="CS31" s="15"/>
      <c r="CT31" s="15"/>
      <c r="CU31" s="15"/>
      <c r="CV31" s="15"/>
    </row>
    <row r="32">
      <c r="A32" s="10" t="s">
        <v>43</v>
      </c>
      <c r="B32" s="10">
        <v>12.0</v>
      </c>
      <c r="C32" s="10" t="s">
        <v>55</v>
      </c>
      <c r="D32" s="12">
        <v>4.0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4">
        <f>$D32</f>
        <v>4</v>
      </c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4">
        <f>$D32</f>
        <v>4</v>
      </c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>
      <c r="A33" s="10" t="s">
        <v>43</v>
      </c>
      <c r="B33" s="10">
        <v>6.0</v>
      </c>
      <c r="C33" s="10" t="s">
        <v>56</v>
      </c>
      <c r="D33" s="12">
        <v>3.0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4">
        <f>$D33</f>
        <v>3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4">
        <f>$D33</f>
        <v>3</v>
      </c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>
      <c r="A34" s="10" t="s">
        <v>43</v>
      </c>
      <c r="B34" s="10">
        <v>12.0</v>
      </c>
      <c r="C34" s="1" t="s">
        <v>57</v>
      </c>
      <c r="D34" s="10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6"/>
      <c r="V34" s="15"/>
      <c r="W34" s="15"/>
      <c r="X34" s="15"/>
      <c r="Y34" s="15"/>
      <c r="Z34" s="15"/>
      <c r="AA34" s="15"/>
      <c r="AB34" s="15"/>
      <c r="AC34" s="14">
        <f>$D34</f>
        <v>1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6"/>
      <c r="BR34" s="15"/>
      <c r="BS34" s="15"/>
      <c r="BT34" s="15"/>
      <c r="BU34" s="15"/>
      <c r="BV34" s="15"/>
      <c r="BW34" s="15"/>
      <c r="BX34" s="15"/>
      <c r="BY34" s="14">
        <f>$D34</f>
        <v>1</v>
      </c>
      <c r="BZ34" s="15"/>
      <c r="CA34" s="15"/>
      <c r="CB34" s="15"/>
      <c r="CC34" s="15"/>
      <c r="CD34" s="15"/>
      <c r="CE34" s="15"/>
      <c r="CF34" s="15"/>
      <c r="CG34" s="14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>
      <c r="A35" s="10" t="s">
        <v>43</v>
      </c>
      <c r="B35" s="10">
        <v>3.0</v>
      </c>
      <c r="C35" s="1" t="s">
        <v>58</v>
      </c>
      <c r="D35" s="10">
        <v>3.5</v>
      </c>
      <c r="E35" s="15"/>
      <c r="F35" s="15"/>
      <c r="G35" s="15"/>
      <c r="H35" s="15"/>
      <c r="I35" s="15"/>
      <c r="J35" s="15"/>
      <c r="K35" s="15"/>
      <c r="L35" s="15"/>
      <c r="M35" s="14">
        <f>$D35</f>
        <v>3.5</v>
      </c>
      <c r="N35" s="15"/>
      <c r="O35" s="15"/>
      <c r="P35" s="15"/>
      <c r="Q35" s="15"/>
      <c r="R35" s="15"/>
      <c r="S35" s="15"/>
      <c r="T35" s="15"/>
      <c r="U35" s="16"/>
      <c r="V35" s="15"/>
      <c r="W35" s="15"/>
      <c r="X35" s="15"/>
      <c r="Y35" s="14">
        <f>$D35</f>
        <v>3.5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4">
        <f t="shared" ref="AK35:AK36" si="10">$D35</f>
        <v>3.5</v>
      </c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4">
        <f>$D35</f>
        <v>3.5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4">
        <f>$D35</f>
        <v>3.5</v>
      </c>
      <c r="BJ35" s="15"/>
      <c r="BK35" s="15"/>
      <c r="BL35" s="15"/>
      <c r="BM35" s="15"/>
      <c r="BN35" s="15"/>
      <c r="BO35" s="15"/>
      <c r="BP35" s="15"/>
      <c r="BQ35" s="16"/>
      <c r="BR35" s="15"/>
      <c r="BS35" s="15"/>
      <c r="BT35" s="15"/>
      <c r="BU35" s="12">
        <v>1.0</v>
      </c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4">
        <f>$D35</f>
        <v>3.5</v>
      </c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4">
        <f>$D35</f>
        <v>3.5</v>
      </c>
      <c r="CT35" s="15"/>
      <c r="CU35" s="15"/>
      <c r="CV35" s="15"/>
    </row>
    <row r="36">
      <c r="A36" s="10" t="s">
        <v>43</v>
      </c>
      <c r="B36" s="10">
        <v>12.0</v>
      </c>
      <c r="C36" s="10" t="s">
        <v>59</v>
      </c>
      <c r="D36" s="12">
        <v>9.0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4">
        <f t="shared" si="10"/>
        <v>9</v>
      </c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>
      <c r="A37" s="10" t="s">
        <v>43</v>
      </c>
      <c r="B37" s="10">
        <v>3.0</v>
      </c>
      <c r="C37" s="1" t="s">
        <v>60</v>
      </c>
      <c r="D37" s="10">
        <v>12.0</v>
      </c>
      <c r="E37" s="15"/>
      <c r="F37" s="15"/>
      <c r="G37" s="15"/>
      <c r="H37" s="15"/>
      <c r="I37" s="14">
        <f>$D37</f>
        <v>12</v>
      </c>
      <c r="J37" s="15"/>
      <c r="K37" s="15"/>
      <c r="L37" s="15"/>
      <c r="M37" s="15"/>
      <c r="N37" s="15"/>
      <c r="O37" s="15"/>
      <c r="P37" s="15"/>
      <c r="Q37" s="14"/>
      <c r="R37" s="15"/>
      <c r="S37" s="15"/>
      <c r="T37" s="15"/>
      <c r="U37" s="14">
        <f>$D37</f>
        <v>12</v>
      </c>
      <c r="V37" s="15"/>
      <c r="W37" s="15"/>
      <c r="X37" s="15"/>
      <c r="Y37" s="14"/>
      <c r="Z37" s="15"/>
      <c r="AA37" s="15"/>
      <c r="AB37" s="15"/>
      <c r="AC37" s="14"/>
      <c r="AD37" s="15"/>
      <c r="AE37" s="15"/>
      <c r="AF37" s="15"/>
      <c r="AG37" s="14">
        <f>$D37</f>
        <v>12</v>
      </c>
      <c r="AH37" s="15"/>
      <c r="AI37" s="15"/>
      <c r="AJ37" s="15"/>
      <c r="AK37" s="14"/>
      <c r="AL37" s="15"/>
      <c r="AM37" s="15"/>
      <c r="AN37" s="15"/>
      <c r="AO37" s="15"/>
      <c r="AP37" s="15"/>
      <c r="AQ37" s="15"/>
      <c r="AR37" s="15"/>
      <c r="AS37" s="14">
        <f>$D37</f>
        <v>12</v>
      </c>
      <c r="AT37" s="15"/>
      <c r="AU37" s="15"/>
      <c r="AV37" s="15"/>
      <c r="AW37" s="14"/>
      <c r="AX37" s="15"/>
      <c r="AY37" s="15"/>
      <c r="AZ37" s="15"/>
      <c r="BA37" s="15"/>
      <c r="BB37" s="15"/>
      <c r="BC37" s="15"/>
      <c r="BD37" s="15"/>
      <c r="BE37" s="14">
        <f>$D37</f>
        <v>12</v>
      </c>
      <c r="BF37" s="15"/>
      <c r="BG37" s="15"/>
      <c r="BH37" s="15"/>
      <c r="BI37" s="15"/>
      <c r="BJ37" s="15"/>
      <c r="BK37" s="15"/>
      <c r="BL37" s="15"/>
      <c r="BM37" s="14"/>
      <c r="BN37" s="15"/>
      <c r="BO37" s="15"/>
      <c r="BP37" s="15"/>
      <c r="BQ37" s="14">
        <f>$D37</f>
        <v>12</v>
      </c>
      <c r="BR37" s="15"/>
      <c r="BS37" s="15"/>
      <c r="BT37" s="15"/>
      <c r="BU37" s="14"/>
      <c r="BV37" s="15"/>
      <c r="BW37" s="15"/>
      <c r="BX37" s="15"/>
      <c r="BY37" s="14"/>
      <c r="BZ37" s="15"/>
      <c r="CA37" s="15"/>
      <c r="CB37" s="15"/>
      <c r="CC37" s="14">
        <f>$D37</f>
        <v>12</v>
      </c>
      <c r="CD37" s="15"/>
      <c r="CE37" s="15"/>
      <c r="CF37" s="15"/>
      <c r="CG37" s="14"/>
      <c r="CH37" s="15"/>
      <c r="CI37" s="15"/>
      <c r="CJ37" s="15"/>
      <c r="CK37" s="15"/>
      <c r="CL37" s="15"/>
      <c r="CM37" s="15"/>
      <c r="CN37" s="15"/>
      <c r="CO37" s="14">
        <f>$D37</f>
        <v>12</v>
      </c>
      <c r="CP37" s="15"/>
      <c r="CQ37" s="15"/>
      <c r="CR37" s="15"/>
      <c r="CS37" s="14"/>
      <c r="CT37" s="15"/>
      <c r="CU37" s="15"/>
      <c r="CV37" s="15"/>
    </row>
    <row r="38">
      <c r="A38" s="10" t="s">
        <v>43</v>
      </c>
      <c r="B38" s="10">
        <v>12.0</v>
      </c>
      <c r="C38" s="1" t="s">
        <v>61</v>
      </c>
      <c r="D38" s="10">
        <v>16.0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6"/>
      <c r="V38" s="15"/>
      <c r="W38" s="15"/>
      <c r="X38" s="15"/>
      <c r="Y38" s="15"/>
      <c r="Z38" s="15"/>
      <c r="AA38" s="15"/>
      <c r="AB38" s="15"/>
      <c r="AC38" s="14">
        <f>$D38</f>
        <v>16</v>
      </c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6"/>
      <c r="BR38" s="15"/>
      <c r="BS38" s="15"/>
      <c r="BT38" s="15"/>
      <c r="BU38" s="15"/>
      <c r="BV38" s="15"/>
      <c r="BW38" s="15"/>
      <c r="BX38" s="15"/>
      <c r="BY38" s="14">
        <f>$D38</f>
        <v>16</v>
      </c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>
      <c r="A39" s="10" t="s">
        <v>43</v>
      </c>
      <c r="B39" s="10">
        <v>12.0</v>
      </c>
      <c r="C39" s="10" t="s">
        <v>62</v>
      </c>
      <c r="D39" s="12">
        <v>24.0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4">
        <f>$D39</f>
        <v>24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4">
        <f>$D39</f>
        <v>24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>
      <c r="A40" s="10" t="s">
        <v>43</v>
      </c>
      <c r="B40" s="10">
        <v>12.0</v>
      </c>
      <c r="C40" s="10" t="s">
        <v>63</v>
      </c>
      <c r="D40" s="12">
        <v>12.0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4">
        <f>$D40</f>
        <v>12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4">
        <f>$D40</f>
        <v>12</v>
      </c>
      <c r="CP40" s="15"/>
      <c r="CQ40" s="15"/>
      <c r="CR40" s="15"/>
      <c r="CS40" s="15"/>
      <c r="CT40" s="15"/>
      <c r="CU40" s="15"/>
      <c r="CV40" s="15"/>
    </row>
    <row r="41">
      <c r="A41" s="10" t="s">
        <v>43</v>
      </c>
      <c r="B41" s="10">
        <v>12.0</v>
      </c>
      <c r="C41" s="10" t="s">
        <v>64</v>
      </c>
      <c r="D41" s="12">
        <v>4.0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4">
        <f>$D41</f>
        <v>4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4">
        <f>$D41</f>
        <v>4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>
      <c r="A42" s="10" t="s">
        <v>43</v>
      </c>
      <c r="B42" s="10">
        <v>6.0</v>
      </c>
      <c r="C42" s="10" t="s">
        <v>65</v>
      </c>
      <c r="D42" s="12">
        <v>16.0</v>
      </c>
      <c r="E42" s="15"/>
      <c r="F42" s="15"/>
      <c r="G42" s="15"/>
      <c r="H42" s="15"/>
      <c r="I42" s="14">
        <f>$D42</f>
        <v>16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4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4">
        <f>$D42</f>
        <v>16</v>
      </c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4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>
      <c r="A43" s="10" t="s">
        <v>43</v>
      </c>
      <c r="B43" s="10">
        <v>12.0</v>
      </c>
      <c r="C43" s="10" t="s">
        <v>66</v>
      </c>
      <c r="D43" s="12">
        <v>60.0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4">
        <f>$D43</f>
        <v>60</v>
      </c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4">
        <f>$D43</f>
        <v>60</v>
      </c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>
      <c r="A44" s="10" t="s">
        <v>43</v>
      </c>
      <c r="B44" s="10">
        <v>12.0</v>
      </c>
      <c r="C44" s="1" t="s">
        <v>67</v>
      </c>
      <c r="D44" s="10">
        <v>15.0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6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4">
        <f>$D44</f>
        <v>15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6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4">
        <f>$D44</f>
        <v>15</v>
      </c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>
      <c r="A45" s="10" t="s">
        <v>43</v>
      </c>
      <c r="B45" s="10">
        <v>12.0</v>
      </c>
      <c r="C45" s="10" t="s">
        <v>68</v>
      </c>
      <c r="D45" s="12">
        <v>24.0</v>
      </c>
      <c r="E45" s="14">
        <f>$D45</f>
        <v>24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4">
        <f>$D45</f>
        <v>24</v>
      </c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>
      <c r="A46" s="10" t="s">
        <v>43</v>
      </c>
      <c r="B46" s="10">
        <v>24.0</v>
      </c>
      <c r="C46" s="10" t="s">
        <v>69</v>
      </c>
      <c r="D46" s="12">
        <v>30.0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4">
        <f>$D46</f>
        <v>30</v>
      </c>
      <c r="AL46" s="15"/>
      <c r="AM46" s="15"/>
      <c r="AN46" s="15"/>
      <c r="AO46" s="18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8"/>
      <c r="CH46" s="18"/>
      <c r="CI46" s="18"/>
      <c r="CJ46" s="18"/>
      <c r="CK46" s="18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>
      <c r="A47" s="10" t="s">
        <v>43</v>
      </c>
      <c r="B47" s="10">
        <v>6.0</v>
      </c>
      <c r="C47" s="10" t="s">
        <v>69</v>
      </c>
      <c r="D47" s="12">
        <v>10.0</v>
      </c>
      <c r="E47" s="15"/>
      <c r="F47" s="15"/>
      <c r="G47" s="15"/>
      <c r="H47" s="15"/>
      <c r="I47" s="15"/>
      <c r="J47" s="15"/>
      <c r="K47" s="15"/>
      <c r="L47" s="15"/>
      <c r="M47" s="14">
        <f>$D47</f>
        <v>10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4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4">
        <f>$D47</f>
        <v>10</v>
      </c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4">
        <f>$D47</f>
        <v>10</v>
      </c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>
      <c r="A48" s="10" t="s">
        <v>43</v>
      </c>
      <c r="B48" s="10">
        <v>24.0</v>
      </c>
      <c r="C48" s="10" t="s">
        <v>70</v>
      </c>
      <c r="D48" s="12">
        <v>30.0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2">
        <v>18.0</v>
      </c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8"/>
      <c r="CH48" s="18"/>
      <c r="CI48" s="18"/>
      <c r="CJ48" s="18"/>
      <c r="CK48" s="18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>
      <c r="A49" s="10" t="s">
        <v>43</v>
      </c>
      <c r="B49" s="10">
        <v>6.0</v>
      </c>
      <c r="C49" s="10" t="s">
        <v>70</v>
      </c>
      <c r="D49" s="12">
        <v>6.0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4">
        <f>$D49</f>
        <v>6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4">
        <f>$D49</f>
        <v>6</v>
      </c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4">
        <f>$D49</f>
        <v>6</v>
      </c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>
      <c r="A50" s="10" t="s">
        <v>43</v>
      </c>
      <c r="B50" s="10">
        <v>24.0</v>
      </c>
      <c r="C50" s="10" t="s">
        <v>71</v>
      </c>
      <c r="D50" s="12">
        <v>30.0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2">
        <v>18.0</v>
      </c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>
      <c r="A51" s="10" t="s">
        <v>43</v>
      </c>
      <c r="B51" s="10">
        <v>6.0</v>
      </c>
      <c r="C51" s="10" t="s">
        <v>71</v>
      </c>
      <c r="D51" s="12">
        <v>6.0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4">
        <f>$D51</f>
        <v>6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4">
        <f>$D51</f>
        <v>6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4">
        <f>$D51</f>
        <v>6</v>
      </c>
      <c r="CP51" s="15"/>
      <c r="CQ51" s="15"/>
      <c r="CR51" s="15"/>
      <c r="CS51" s="15"/>
      <c r="CT51" s="15"/>
      <c r="CU51" s="15"/>
      <c r="CV51" s="15"/>
    </row>
    <row r="52">
      <c r="A52" s="10" t="s">
        <v>43</v>
      </c>
      <c r="B52" s="10">
        <v>3.0</v>
      </c>
      <c r="C52" s="10" t="s">
        <v>72</v>
      </c>
      <c r="D52" s="10">
        <v>3.0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4">
        <f>$D52</f>
        <v>3</v>
      </c>
      <c r="R52" s="15"/>
      <c r="S52" s="15"/>
      <c r="T52" s="15"/>
      <c r="U52" s="16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4">
        <f>$D52</f>
        <v>3</v>
      </c>
      <c r="BN52" s="15"/>
      <c r="BO52" s="15"/>
      <c r="BP52" s="15"/>
      <c r="BQ52" s="16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>
      <c r="A53" s="10" t="s">
        <v>43</v>
      </c>
      <c r="B53" s="10">
        <v>24.0</v>
      </c>
      <c r="C53" s="10" t="s">
        <v>73</v>
      </c>
      <c r="D53" s="12">
        <v>14.0</v>
      </c>
      <c r="E53" s="15"/>
      <c r="F53" s="15"/>
      <c r="G53" s="15"/>
      <c r="H53" s="15"/>
      <c r="I53" s="15"/>
      <c r="J53" s="15"/>
      <c r="K53" s="15"/>
      <c r="L53" s="15"/>
      <c r="M53" s="14">
        <f>$D53</f>
        <v>14</v>
      </c>
      <c r="N53" s="15"/>
      <c r="O53" s="15"/>
      <c r="P53" s="15"/>
      <c r="Q53" s="15"/>
      <c r="R53" s="15"/>
      <c r="S53" s="15"/>
      <c r="T53" s="15"/>
      <c r="U53" s="16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6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>
      <c r="A54" s="10" t="s">
        <v>43</v>
      </c>
      <c r="B54" s="10">
        <v>6.0</v>
      </c>
      <c r="C54" s="10" t="s">
        <v>73</v>
      </c>
      <c r="D54" s="12">
        <v>3.0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4">
        <f t="shared" ref="AK54:AK55" si="11">$D54</f>
        <v>3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6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>
      <c r="A55" s="10" t="s">
        <v>74</v>
      </c>
      <c r="B55" s="10">
        <v>12.0</v>
      </c>
      <c r="C55" s="1" t="s">
        <v>75</v>
      </c>
      <c r="D55" s="10">
        <v>4.0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4">
        <f t="shared" si="11"/>
        <v>4</v>
      </c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6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4">
        <f>$D55</f>
        <v>4</v>
      </c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>
      <c r="A56" s="10" t="s">
        <v>74</v>
      </c>
      <c r="B56" s="10">
        <v>12.0</v>
      </c>
      <c r="C56" s="10" t="s">
        <v>37</v>
      </c>
      <c r="D56" s="12">
        <v>3.0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4">
        <f>$D56</f>
        <v>3</v>
      </c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4">
        <f>$D56</f>
        <v>3</v>
      </c>
      <c r="CP56" s="15"/>
      <c r="CQ56" s="15"/>
      <c r="CR56" s="15"/>
      <c r="CS56" s="15"/>
      <c r="CT56" s="15"/>
      <c r="CU56" s="15"/>
      <c r="CV56" s="15"/>
    </row>
    <row r="57">
      <c r="A57" s="10" t="s">
        <v>74</v>
      </c>
      <c r="B57" s="10">
        <v>12.0</v>
      </c>
      <c r="C57" s="10" t="s">
        <v>76</v>
      </c>
      <c r="D57" s="12">
        <v>1.0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4">
        <f>$D57</f>
        <v>1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4">
        <f>$D57</f>
        <v>1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>
      <c r="A58" s="10" t="s">
        <v>74</v>
      </c>
      <c r="B58" s="10">
        <v>12.0</v>
      </c>
      <c r="C58" s="10" t="s">
        <v>34</v>
      </c>
      <c r="D58" s="12">
        <v>40.0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4">
        <f>$D58</f>
        <v>40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4">
        <f>$D58</f>
        <v>40</v>
      </c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>
      <c r="A59" s="10" t="s">
        <v>74</v>
      </c>
      <c r="B59" s="10">
        <v>6.0</v>
      </c>
      <c r="C59" s="10" t="s">
        <v>77</v>
      </c>
      <c r="D59" s="12">
        <v>8.0</v>
      </c>
      <c r="E59" s="14">
        <f>$D59</f>
        <v>8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D59" s="15"/>
      <c r="AE59" s="15"/>
      <c r="AF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4">
        <f>$D59</f>
        <v>8</v>
      </c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Z59" s="15"/>
      <c r="CA59" s="15"/>
      <c r="CB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>
      <c r="A60" s="10" t="s">
        <v>74</v>
      </c>
      <c r="B60" s="10">
        <v>12.0</v>
      </c>
      <c r="C60" s="1" t="s">
        <v>67</v>
      </c>
      <c r="D60" s="10">
        <v>6.0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4">
        <f>$D60</f>
        <v>6</v>
      </c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6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4">
        <f>$D60</f>
        <v>6</v>
      </c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>
      <c r="A61" s="10" t="s">
        <v>74</v>
      </c>
      <c r="B61" s="10">
        <v>12.0</v>
      </c>
      <c r="C61" s="1" t="s">
        <v>30</v>
      </c>
      <c r="D61" s="10">
        <v>9.0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4">
        <f t="shared" ref="Q61:Q62" si="12">$D61</f>
        <v>9</v>
      </c>
      <c r="R61" s="15"/>
      <c r="S61" s="15"/>
      <c r="T61" s="15"/>
      <c r="U61" s="16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4">
        <f t="shared" ref="BM61:BM62" si="13">$D61</f>
        <v>9</v>
      </c>
      <c r="BN61" s="15"/>
      <c r="BO61" s="15"/>
      <c r="BP61" s="15"/>
      <c r="BQ61" s="16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>
      <c r="A62" s="10" t="s">
        <v>74</v>
      </c>
      <c r="B62" s="10">
        <v>1.0</v>
      </c>
      <c r="C62" s="10" t="s">
        <v>78</v>
      </c>
      <c r="D62" s="12">
        <v>4.5</v>
      </c>
      <c r="E62" s="14">
        <f>$D62</f>
        <v>4.5</v>
      </c>
      <c r="F62" s="15"/>
      <c r="G62" s="15"/>
      <c r="H62" s="15"/>
      <c r="I62" s="14">
        <f>$D62</f>
        <v>4.5</v>
      </c>
      <c r="J62" s="15"/>
      <c r="K62" s="15"/>
      <c r="L62" s="15"/>
      <c r="M62" s="14">
        <f>$D62</f>
        <v>4.5</v>
      </c>
      <c r="N62" s="15"/>
      <c r="O62" s="15"/>
      <c r="P62" s="15"/>
      <c r="Q62" s="14">
        <f t="shared" si="12"/>
        <v>4.5</v>
      </c>
      <c r="R62" s="15"/>
      <c r="S62" s="15"/>
      <c r="T62" s="15"/>
      <c r="U62" s="14">
        <f>$D62</f>
        <v>4.5</v>
      </c>
      <c r="V62" s="15"/>
      <c r="W62" s="15"/>
      <c r="X62" s="15"/>
      <c r="Y62" s="14">
        <f>$D62</f>
        <v>4.5</v>
      </c>
      <c r="Z62" s="15"/>
      <c r="AA62" s="15"/>
      <c r="AB62" s="15"/>
      <c r="AC62" s="14">
        <f>$D62</f>
        <v>4.5</v>
      </c>
      <c r="AD62" s="15"/>
      <c r="AE62" s="15"/>
      <c r="AF62" s="15"/>
      <c r="AG62" s="14">
        <f>$D62</f>
        <v>4.5</v>
      </c>
      <c r="AH62" s="15"/>
      <c r="AI62" s="15"/>
      <c r="AJ62" s="15"/>
      <c r="AK62" s="14">
        <f>$D62</f>
        <v>4.5</v>
      </c>
      <c r="AL62" s="15"/>
      <c r="AM62" s="15"/>
      <c r="AN62" s="15"/>
      <c r="AO62" s="14">
        <f>$D62</f>
        <v>4.5</v>
      </c>
      <c r="AP62" s="15"/>
      <c r="AQ62" s="15"/>
      <c r="AR62" s="15"/>
      <c r="AS62" s="14">
        <f>$D62</f>
        <v>4.5</v>
      </c>
      <c r="AT62" s="15"/>
      <c r="AU62" s="15"/>
      <c r="AV62" s="15"/>
      <c r="AW62" s="14">
        <f>$D62</f>
        <v>4.5</v>
      </c>
      <c r="AX62" s="15"/>
      <c r="AY62" s="15"/>
      <c r="AZ62" s="15"/>
      <c r="BA62" s="14">
        <f>$D62</f>
        <v>4.5</v>
      </c>
      <c r="BB62" s="15"/>
      <c r="BC62" s="15"/>
      <c r="BD62" s="15"/>
      <c r="BE62" s="14">
        <f>$D62</f>
        <v>4.5</v>
      </c>
      <c r="BF62" s="15"/>
      <c r="BG62" s="15"/>
      <c r="BH62" s="15"/>
      <c r="BI62" s="14">
        <f>$D62</f>
        <v>4.5</v>
      </c>
      <c r="BJ62" s="15"/>
      <c r="BK62" s="15"/>
      <c r="BL62" s="15"/>
      <c r="BM62" s="14">
        <f t="shared" si="13"/>
        <v>4.5</v>
      </c>
      <c r="BN62" s="15"/>
      <c r="BO62" s="15"/>
      <c r="BP62" s="15"/>
      <c r="BQ62" s="14">
        <f>$D62</f>
        <v>4.5</v>
      </c>
      <c r="BR62" s="15"/>
      <c r="BS62" s="15"/>
      <c r="BT62" s="15"/>
      <c r="BU62" s="14">
        <f>$D62</f>
        <v>4.5</v>
      </c>
      <c r="BV62" s="15"/>
      <c r="BW62" s="15"/>
      <c r="BX62" s="15"/>
      <c r="BY62" s="14">
        <f>$D62</f>
        <v>4.5</v>
      </c>
      <c r="BZ62" s="15"/>
      <c r="CA62" s="15"/>
      <c r="CB62" s="15"/>
      <c r="CC62" s="14">
        <f>$D62</f>
        <v>4.5</v>
      </c>
      <c r="CD62" s="15"/>
      <c r="CE62" s="15"/>
      <c r="CF62" s="15"/>
      <c r="CG62" s="14">
        <f>$D62</f>
        <v>4.5</v>
      </c>
      <c r="CH62" s="15"/>
      <c r="CI62" s="15"/>
      <c r="CJ62" s="15"/>
      <c r="CK62" s="14">
        <f>$D62</f>
        <v>4.5</v>
      </c>
      <c r="CL62" s="15"/>
      <c r="CM62" s="15"/>
      <c r="CN62" s="15"/>
      <c r="CO62" s="14">
        <f>$D62</f>
        <v>4.5</v>
      </c>
      <c r="CP62" s="15"/>
      <c r="CQ62" s="15"/>
      <c r="CR62" s="15"/>
      <c r="CS62" s="14">
        <f>$D62</f>
        <v>4.5</v>
      </c>
      <c r="CT62" s="15"/>
      <c r="CU62" s="15"/>
      <c r="CV62" s="15"/>
    </row>
    <row r="63">
      <c r="A63" s="10" t="s">
        <v>74</v>
      </c>
      <c r="B63" s="10">
        <v>24.0</v>
      </c>
      <c r="C63" s="10" t="s">
        <v>79</v>
      </c>
      <c r="D63" s="12">
        <v>19.0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2">
        <v>18.0</v>
      </c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>
      <c r="A64" s="10" t="s">
        <v>80</v>
      </c>
      <c r="B64" s="10">
        <v>12.0</v>
      </c>
      <c r="C64" s="10" t="s">
        <v>81</v>
      </c>
      <c r="D64" s="12">
        <v>30.0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4">
        <f>$D64</f>
        <v>30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4">
        <f>$D64</f>
        <v>30</v>
      </c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>
      <c r="A65" s="10" t="s">
        <v>80</v>
      </c>
      <c r="B65" s="10">
        <v>3.0</v>
      </c>
      <c r="C65" s="1" t="s">
        <v>81</v>
      </c>
      <c r="D65" s="12">
        <v>42.0</v>
      </c>
      <c r="E65" s="15"/>
      <c r="F65" s="15"/>
      <c r="G65" s="15"/>
      <c r="H65" s="15"/>
      <c r="I65" s="14">
        <f>$D65</f>
        <v>42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4">
        <f>$D65</f>
        <v>42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4"/>
      <c r="AH65" s="15"/>
      <c r="AI65" s="15"/>
      <c r="AJ65" s="15"/>
      <c r="AK65" s="15"/>
      <c r="AL65" s="15"/>
      <c r="AM65" s="15"/>
      <c r="AN65" s="15"/>
      <c r="AO65" s="12">
        <v>16.0</v>
      </c>
      <c r="AP65" s="15"/>
      <c r="AQ65" s="15"/>
      <c r="AR65" s="15"/>
      <c r="AS65" s="14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4">
        <f>$D65</f>
        <v>42</v>
      </c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4">
        <f>$D65</f>
        <v>42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4"/>
      <c r="CD65" s="15"/>
      <c r="CE65" s="15"/>
      <c r="CF65" s="15"/>
      <c r="CG65" s="15"/>
      <c r="CH65" s="15"/>
      <c r="CI65" s="15"/>
      <c r="CJ65" s="15"/>
      <c r="CK65" s="12">
        <v>16.0</v>
      </c>
      <c r="CL65" s="15"/>
      <c r="CM65" s="15"/>
      <c r="CN65" s="15"/>
      <c r="CO65" s="14"/>
      <c r="CP65" s="15"/>
      <c r="CQ65" s="15"/>
      <c r="CR65" s="15"/>
      <c r="CS65" s="15"/>
      <c r="CT65" s="15"/>
      <c r="CU65" s="15"/>
      <c r="CV65" s="15"/>
    </row>
    <row r="66">
      <c r="A66" s="10" t="s">
        <v>82</v>
      </c>
      <c r="B66" s="10">
        <v>12.0</v>
      </c>
      <c r="C66" s="10" t="s">
        <v>83</v>
      </c>
      <c r="D66" s="10">
        <v>12.0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4">
        <f>$D66</f>
        <v>12</v>
      </c>
      <c r="R66" s="15"/>
      <c r="S66" s="15"/>
      <c r="T66" s="15"/>
      <c r="U66" s="16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4">
        <f>$D66</f>
        <v>12</v>
      </c>
      <c r="BN66" s="15"/>
      <c r="BO66" s="15"/>
      <c r="BP66" s="15"/>
      <c r="BQ66" s="16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>
      <c r="A67" s="10" t="s">
        <v>84</v>
      </c>
      <c r="B67" s="10">
        <v>12.0</v>
      </c>
      <c r="C67" s="10" t="s">
        <v>85</v>
      </c>
      <c r="D67" s="10">
        <v>3.0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8"/>
      <c r="Y67" s="14">
        <f>$D67</f>
        <v>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4">
        <f>$D67</f>
        <v>3</v>
      </c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>
      <c r="A68" s="10" t="s">
        <v>86</v>
      </c>
      <c r="B68" s="10">
        <v>12.0</v>
      </c>
      <c r="C68" s="10" t="s">
        <v>87</v>
      </c>
      <c r="D68" s="10">
        <v>2.0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4">
        <f>$D68</f>
        <v>2</v>
      </c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4">
        <f>$D68</f>
        <v>2</v>
      </c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>
      <c r="A69" s="10" t="s">
        <v>86</v>
      </c>
      <c r="B69" s="10">
        <v>12.0</v>
      </c>
      <c r="C69" s="10" t="s">
        <v>88</v>
      </c>
      <c r="D69" s="10">
        <v>3.5</v>
      </c>
      <c r="E69" s="15"/>
      <c r="F69" s="15"/>
      <c r="G69" s="15"/>
      <c r="H69" s="15"/>
      <c r="I69" s="14">
        <f t="shared" ref="I69:I73" si="14">$D69</f>
        <v>3.5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4">
        <f t="shared" ref="BE69:BE73" si="15">$D69</f>
        <v>3.5</v>
      </c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>
      <c r="A70" s="10" t="s">
        <v>89</v>
      </c>
      <c r="B70" s="10">
        <v>12.0</v>
      </c>
      <c r="C70" s="10" t="s">
        <v>90</v>
      </c>
      <c r="D70" s="10">
        <v>5.0</v>
      </c>
      <c r="E70" s="15"/>
      <c r="F70" s="15"/>
      <c r="G70" s="15"/>
      <c r="H70" s="15"/>
      <c r="I70" s="14">
        <f t="shared" si="14"/>
        <v>5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4">
        <f t="shared" si="15"/>
        <v>5</v>
      </c>
      <c r="BF70" s="16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6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>
      <c r="A71" s="10" t="s">
        <v>89</v>
      </c>
      <c r="B71" s="10">
        <v>12.0</v>
      </c>
      <c r="C71" s="10" t="s">
        <v>91</v>
      </c>
      <c r="D71" s="10">
        <v>4.0</v>
      </c>
      <c r="E71" s="15"/>
      <c r="F71" s="15"/>
      <c r="G71" s="15"/>
      <c r="H71" s="15"/>
      <c r="I71" s="14">
        <f t="shared" si="14"/>
        <v>4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4">
        <f t="shared" si="15"/>
        <v>4</v>
      </c>
      <c r="BF71" s="16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6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>
      <c r="A72" s="10" t="s">
        <v>89</v>
      </c>
      <c r="B72" s="10">
        <v>12.0</v>
      </c>
      <c r="C72" s="10" t="s">
        <v>92</v>
      </c>
      <c r="D72" s="10">
        <v>2.0</v>
      </c>
      <c r="E72" s="15"/>
      <c r="F72" s="15"/>
      <c r="G72" s="15"/>
      <c r="H72" s="15"/>
      <c r="I72" s="14">
        <f t="shared" si="14"/>
        <v>2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4">
        <f t="shared" si="15"/>
        <v>2</v>
      </c>
      <c r="BF72" s="16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6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>
      <c r="A73" s="10" t="s">
        <v>89</v>
      </c>
      <c r="B73" s="10">
        <v>12.0</v>
      </c>
      <c r="C73" s="10" t="s">
        <v>93</v>
      </c>
      <c r="D73" s="10">
        <v>6.0</v>
      </c>
      <c r="E73" s="15"/>
      <c r="F73" s="15"/>
      <c r="G73" s="15"/>
      <c r="H73" s="15"/>
      <c r="I73" s="14">
        <f t="shared" si="14"/>
        <v>6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4">
        <f t="shared" si="15"/>
        <v>6</v>
      </c>
      <c r="BF73" s="14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6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>
      <c r="A74" s="10" t="s">
        <v>94</v>
      </c>
      <c r="B74" s="10">
        <v>12.0</v>
      </c>
      <c r="C74" s="10" t="s">
        <v>95</v>
      </c>
      <c r="D74" s="10">
        <v>3.0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4">
        <f>$D74</f>
        <v>3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4">
        <f>$D74</f>
        <v>3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>
      <c r="A75" s="10" t="s">
        <v>96</v>
      </c>
      <c r="B75" s="10">
        <v>12.0</v>
      </c>
      <c r="C75" s="10" t="s">
        <v>34</v>
      </c>
      <c r="D75" s="10">
        <v>5.0</v>
      </c>
      <c r="E75" s="15"/>
      <c r="F75" s="15"/>
      <c r="G75" s="15"/>
      <c r="H75" s="15"/>
      <c r="I75" s="14">
        <f>$D75</f>
        <v>5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4">
        <f>$D75</f>
        <v>5</v>
      </c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>
      <c r="A76" s="10" t="s">
        <v>96</v>
      </c>
      <c r="B76" s="10">
        <v>3.0</v>
      </c>
      <c r="C76" s="10" t="s">
        <v>40</v>
      </c>
      <c r="D76" s="10">
        <v>14.0</v>
      </c>
      <c r="E76" s="15"/>
      <c r="F76" s="15"/>
      <c r="G76" s="15"/>
      <c r="H76" s="15"/>
      <c r="I76" s="15"/>
      <c r="J76" s="15"/>
      <c r="K76" s="15"/>
      <c r="L76" s="15"/>
      <c r="M76" s="14">
        <f>$D76</f>
        <v>14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4">
        <f>$D76</f>
        <v>14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4">
        <f>$D76</f>
        <v>14</v>
      </c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4">
        <f>$D76</f>
        <v>14</v>
      </c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4">
        <f>$D76</f>
        <v>14</v>
      </c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4">
        <f>$D76</f>
        <v>14</v>
      </c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4">
        <f>$D76</f>
        <v>14</v>
      </c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4">
        <f>$D76</f>
        <v>14</v>
      </c>
      <c r="CT76" s="15"/>
      <c r="CU76" s="15"/>
      <c r="CV76" s="15"/>
    </row>
    <row r="77">
      <c r="A77" s="10" t="s">
        <v>97</v>
      </c>
      <c r="B77" s="10">
        <v>12.0</v>
      </c>
      <c r="C77" s="10" t="s">
        <v>98</v>
      </c>
      <c r="D77" s="10">
        <v>12.0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4">
        <f>$D77</f>
        <v>12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4">
        <f>$D77</f>
        <v>12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>
      <c r="A78" s="10" t="s">
        <v>97</v>
      </c>
      <c r="B78" s="10">
        <v>12.0</v>
      </c>
      <c r="C78" s="10" t="s">
        <v>99</v>
      </c>
      <c r="D78" s="10">
        <v>5.0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4">
        <f t="shared" ref="AG78:AG79" si="16">$D78</f>
        <v>5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4">
        <f t="shared" ref="CC78:CC79" si="17">$D78</f>
        <v>5</v>
      </c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>
      <c r="A79" s="10" t="s">
        <v>97</v>
      </c>
      <c r="B79" s="10">
        <v>12.0</v>
      </c>
      <c r="C79" s="10" t="s">
        <v>100</v>
      </c>
      <c r="D79" s="10">
        <v>5.0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4">
        <f t="shared" si="16"/>
        <v>5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4">
        <f t="shared" si="17"/>
        <v>5</v>
      </c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>
      <c r="A80" s="10" t="s">
        <v>97</v>
      </c>
      <c r="B80" s="10">
        <v>12.0</v>
      </c>
      <c r="C80" s="10" t="s">
        <v>34</v>
      </c>
      <c r="D80" s="10">
        <v>12.0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4">
        <f>$D80</f>
        <v>12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4">
        <f>$D80</f>
        <v>12</v>
      </c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>
      <c r="A81" s="10" t="s">
        <v>101</v>
      </c>
      <c r="B81" s="10">
        <v>6.0</v>
      </c>
      <c r="C81" s="1" t="s">
        <v>102</v>
      </c>
      <c r="D81" s="10">
        <v>2.0</v>
      </c>
      <c r="E81" s="15"/>
      <c r="F81" s="15"/>
      <c r="G81" s="15"/>
      <c r="H81" s="15"/>
      <c r="I81" s="15"/>
      <c r="J81" s="15"/>
      <c r="K81" s="15"/>
      <c r="L81" s="15"/>
      <c r="M81" s="14">
        <f>$D81</f>
        <v>2</v>
      </c>
      <c r="N81" s="15"/>
      <c r="O81" s="15"/>
      <c r="P81" s="15"/>
      <c r="Q81" s="15"/>
      <c r="R81" s="15"/>
      <c r="S81" s="15"/>
      <c r="T81" s="15"/>
      <c r="U81" s="16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4">
        <f t="shared" ref="AK81:AK82" si="18">$D81</f>
        <v>2</v>
      </c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4">
        <f>$D81</f>
        <v>2</v>
      </c>
      <c r="BJ81" s="15"/>
      <c r="BK81" s="15"/>
      <c r="BL81" s="15"/>
      <c r="BM81" s="15"/>
      <c r="BN81" s="15"/>
      <c r="BO81" s="15"/>
      <c r="BP81" s="15"/>
      <c r="BQ81" s="16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4">
        <f t="shared" ref="CG81:CG84" si="19">$D81</f>
        <v>2</v>
      </c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>
      <c r="A82" s="10" t="s">
        <v>101</v>
      </c>
      <c r="B82" s="10">
        <v>12.0</v>
      </c>
      <c r="C82" s="1" t="s">
        <v>103</v>
      </c>
      <c r="D82" s="10">
        <v>2.0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6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4">
        <f t="shared" si="18"/>
        <v>2</v>
      </c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6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4">
        <f t="shared" si="19"/>
        <v>2</v>
      </c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>
      <c r="A83" s="10" t="s">
        <v>101</v>
      </c>
      <c r="B83" s="10">
        <v>24.0</v>
      </c>
      <c r="C83" s="1" t="s">
        <v>104</v>
      </c>
      <c r="D83" s="10">
        <v>2.0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6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6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4">
        <f t="shared" si="19"/>
        <v>2</v>
      </c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>
      <c r="A84" s="10" t="s">
        <v>101</v>
      </c>
      <c r="B84" s="10">
        <v>12.0</v>
      </c>
      <c r="C84" s="1" t="s">
        <v>40</v>
      </c>
      <c r="D84" s="10">
        <v>4.0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6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4">
        <f>$D84</f>
        <v>4</v>
      </c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6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4">
        <f t="shared" si="19"/>
        <v>4</v>
      </c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>
      <c r="A85" s="10" t="s">
        <v>105</v>
      </c>
      <c r="B85" s="10">
        <v>12.0</v>
      </c>
      <c r="C85" s="10" t="s">
        <v>106</v>
      </c>
      <c r="D85" s="10">
        <v>3.0</v>
      </c>
      <c r="E85" s="14">
        <f>$D85</f>
        <v>3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4">
        <f>$D85</f>
        <v>3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>
      <c r="A86" s="10" t="s">
        <v>107</v>
      </c>
      <c r="B86" s="10">
        <v>12.0</v>
      </c>
      <c r="C86" s="10" t="s">
        <v>108</v>
      </c>
      <c r="D86" s="10">
        <v>20.0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6"/>
      <c r="R86" s="15"/>
      <c r="S86" s="15"/>
      <c r="T86" s="15"/>
      <c r="U86" s="14">
        <f>$D86</f>
        <v>20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6"/>
      <c r="BN86" s="15"/>
      <c r="BO86" s="15"/>
      <c r="BP86" s="15"/>
      <c r="BQ86" s="14">
        <f>$D86</f>
        <v>20</v>
      </c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4">
        <f>$D86</f>
        <v>20</v>
      </c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>
      <c r="A87" s="10" t="s">
        <v>107</v>
      </c>
      <c r="B87" s="10">
        <v>6.0</v>
      </c>
      <c r="C87" s="1" t="s">
        <v>109</v>
      </c>
      <c r="D87" s="10">
        <v>3.0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6"/>
      <c r="AL87" s="15"/>
      <c r="AM87" s="15"/>
      <c r="AN87" s="15"/>
      <c r="AO87" s="15"/>
      <c r="AP87" s="15"/>
      <c r="AQ87" s="15"/>
      <c r="AR87" s="15"/>
      <c r="AS87" s="14">
        <f>$D87</f>
        <v>3</v>
      </c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6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6"/>
      <c r="CH87" s="15"/>
      <c r="CI87" s="15"/>
      <c r="CJ87" s="15"/>
      <c r="CK87" s="15"/>
      <c r="CL87" s="15"/>
      <c r="CM87" s="15"/>
      <c r="CN87" s="15"/>
      <c r="CO87" s="14">
        <f>$D87</f>
        <v>3</v>
      </c>
      <c r="CP87" s="15"/>
      <c r="CQ87" s="15"/>
      <c r="CR87" s="15"/>
      <c r="CS87" s="15"/>
      <c r="CT87" s="15"/>
      <c r="CU87" s="15"/>
      <c r="CV87" s="15"/>
    </row>
    <row r="88">
      <c r="A88" s="10" t="s">
        <v>107</v>
      </c>
      <c r="B88" s="10">
        <v>6.0</v>
      </c>
      <c r="C88" s="10" t="s">
        <v>102</v>
      </c>
      <c r="D88" s="10">
        <v>3.0</v>
      </c>
      <c r="E88" s="14">
        <f>$D88</f>
        <v>3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4">
        <f>$D88</f>
        <v>3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4">
        <f>$D88</f>
        <v>3</v>
      </c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4"/>
      <c r="BV88" s="15"/>
      <c r="BW88" s="15"/>
      <c r="BX88" s="15"/>
      <c r="BY88" s="14">
        <f>$D88</f>
        <v>3</v>
      </c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>
      <c r="A89" s="10" t="s">
        <v>107</v>
      </c>
      <c r="B89" s="10">
        <v>12.0</v>
      </c>
      <c r="C89" s="10" t="s">
        <v>110</v>
      </c>
      <c r="D89" s="10">
        <v>4.0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4">
        <f t="shared" ref="Y89:Y90" si="20">$D89</f>
        <v>4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4">
        <f t="shared" ref="BU89:BU90" si="21">$D89</f>
        <v>4</v>
      </c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>
      <c r="A90" s="10" t="s">
        <v>107</v>
      </c>
      <c r="B90" s="10">
        <v>3.0</v>
      </c>
      <c r="C90" s="10" t="s">
        <v>111</v>
      </c>
      <c r="D90" s="10">
        <v>6.0</v>
      </c>
      <c r="E90" s="15"/>
      <c r="F90" s="15"/>
      <c r="G90" s="15"/>
      <c r="H90" s="15"/>
      <c r="I90" s="15"/>
      <c r="J90" s="15"/>
      <c r="K90" s="15"/>
      <c r="L90" s="15"/>
      <c r="M90" s="14">
        <f>$D90</f>
        <v>6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4">
        <f t="shared" si="20"/>
        <v>6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4">
        <f>$D90</f>
        <v>6</v>
      </c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4">
        <f>$D90</f>
        <v>6</v>
      </c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4">
        <f>$D90</f>
        <v>6</v>
      </c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4">
        <f t="shared" si="21"/>
        <v>6</v>
      </c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4">
        <f>$D90</f>
        <v>6</v>
      </c>
      <c r="CH90" s="15"/>
      <c r="CI90" s="15"/>
      <c r="CJ90" s="15"/>
      <c r="CK90" s="15"/>
      <c r="CL90" s="15"/>
      <c r="CM90" s="15"/>
      <c r="CN90" s="15"/>
      <c r="CO90" s="14">
        <f>$D90</f>
        <v>6</v>
      </c>
      <c r="CP90" s="15"/>
      <c r="CQ90" s="15"/>
      <c r="CR90" s="15"/>
      <c r="CT90" s="15"/>
      <c r="CU90" s="15"/>
      <c r="CV90" s="15"/>
    </row>
    <row r="91">
      <c r="A91" s="10" t="s">
        <v>107</v>
      </c>
      <c r="B91" s="10">
        <v>12.0</v>
      </c>
      <c r="C91" s="10" t="s">
        <v>112</v>
      </c>
      <c r="D91" s="10">
        <v>2.0</v>
      </c>
      <c r="E91" s="15"/>
      <c r="F91" s="15"/>
      <c r="G91" s="15"/>
      <c r="H91" s="15"/>
      <c r="I91" s="14">
        <f>$D91</f>
        <v>2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4">
        <f>$D91</f>
        <v>2</v>
      </c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>
      <c r="A92" s="10" t="s">
        <v>107</v>
      </c>
      <c r="B92" s="10">
        <v>12.0</v>
      </c>
      <c r="C92" s="10" t="s">
        <v>113</v>
      </c>
      <c r="D92" s="10">
        <v>10.0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4">
        <f>$D92</f>
        <v>10</v>
      </c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4">
        <f>$D92</f>
        <v>10</v>
      </c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>
      <c r="A93" s="10" t="s">
        <v>107</v>
      </c>
      <c r="B93" s="10">
        <v>6.0</v>
      </c>
      <c r="C93" s="10" t="s">
        <v>114</v>
      </c>
      <c r="D93" s="10">
        <v>4.0</v>
      </c>
      <c r="E93" s="14">
        <f>$D93</f>
        <v>4</v>
      </c>
      <c r="F93" s="15"/>
      <c r="G93" s="15"/>
      <c r="H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T93" s="15"/>
      <c r="AU93" s="15"/>
      <c r="AV93" s="15"/>
      <c r="AX93" s="15"/>
      <c r="AY93" s="15"/>
      <c r="AZ93" s="15"/>
      <c r="BA93" s="14">
        <f>$D93</f>
        <v>4</v>
      </c>
      <c r="BB93" s="15"/>
      <c r="BC93" s="15"/>
      <c r="BD93" s="15"/>
      <c r="BE93" s="14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4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>
      <c r="A94" s="10" t="s">
        <v>107</v>
      </c>
      <c r="B94" s="10">
        <v>12.0</v>
      </c>
      <c r="C94" s="10" t="s">
        <v>64</v>
      </c>
      <c r="D94" s="10">
        <v>3.0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0">
        <v>3.0</v>
      </c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0">
        <v>3.0</v>
      </c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>
      <c r="A95" s="10" t="s">
        <v>107</v>
      </c>
      <c r="B95" s="10">
        <v>12.0</v>
      </c>
      <c r="C95" s="10" t="s">
        <v>115</v>
      </c>
      <c r="D95" s="10">
        <v>24.0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4">
        <f t="shared" ref="Y95:Y96" si="22">$D95</f>
        <v>24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4">
        <f t="shared" ref="BU95:BU96" si="23">$D95</f>
        <v>24</v>
      </c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>
      <c r="A96" s="10" t="s">
        <v>107</v>
      </c>
      <c r="B96" s="10">
        <v>12.0</v>
      </c>
      <c r="C96" s="10" t="s">
        <v>116</v>
      </c>
      <c r="D96" s="10">
        <v>42.0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4">
        <f t="shared" si="22"/>
        <v>42</v>
      </c>
      <c r="Z96" s="15"/>
      <c r="AA96" s="15"/>
      <c r="AB96" s="15"/>
      <c r="AC96" s="15"/>
      <c r="AD96" s="15"/>
      <c r="AE96" s="15"/>
      <c r="AF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4">
        <f t="shared" si="23"/>
        <v>42</v>
      </c>
      <c r="BV96" s="15"/>
      <c r="BW96" s="15"/>
      <c r="BX96" s="15"/>
      <c r="BY96" s="15"/>
      <c r="BZ96" s="15"/>
      <c r="CA96" s="15"/>
      <c r="CB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>
      <c r="A97" s="10" t="s">
        <v>107</v>
      </c>
      <c r="B97" s="10">
        <v>12.0</v>
      </c>
      <c r="C97" s="10" t="s">
        <v>117</v>
      </c>
      <c r="D97" s="10">
        <v>21.0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4">
        <f>$D97</f>
        <v>21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4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4">
        <f>$D97</f>
        <v>21</v>
      </c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>
      <c r="A98" s="10" t="s">
        <v>107</v>
      </c>
      <c r="B98" s="10">
        <v>12.0</v>
      </c>
      <c r="C98" s="10" t="s">
        <v>118</v>
      </c>
      <c r="D98" s="10">
        <v>28.0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4">
        <f>$D98</f>
        <v>28</v>
      </c>
      <c r="AD98" s="15"/>
      <c r="AE98" s="15"/>
      <c r="AF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4">
        <f>$D98</f>
        <v>28</v>
      </c>
      <c r="BZ98" s="15"/>
      <c r="CA98" s="15"/>
      <c r="CB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>
      <c r="A99" s="10" t="s">
        <v>107</v>
      </c>
      <c r="B99" s="10">
        <v>12.0</v>
      </c>
      <c r="C99" s="10" t="s">
        <v>119</v>
      </c>
      <c r="D99" s="10">
        <v>16.0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4">
        <f>$D99</f>
        <v>16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4">
        <f>$D99</f>
        <v>16</v>
      </c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>
      <c r="A100" s="10" t="s">
        <v>107</v>
      </c>
      <c r="B100" s="10">
        <v>12.0</v>
      </c>
      <c r="C100" s="10" t="s">
        <v>67</v>
      </c>
      <c r="D100" s="10">
        <v>16.0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4">
        <f t="shared" ref="Q100:Q101" si="24">$D100</f>
        <v>16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4">
        <f t="shared" ref="BM100:BM101" si="25">$D100</f>
        <v>16</v>
      </c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>
      <c r="A101" s="10" t="s">
        <v>107</v>
      </c>
      <c r="B101" s="10">
        <v>3.0</v>
      </c>
      <c r="C101" s="10" t="s">
        <v>120</v>
      </c>
      <c r="D101" s="10">
        <v>4.0</v>
      </c>
      <c r="E101" s="14">
        <f>$D101</f>
        <v>4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4">
        <f t="shared" si="24"/>
        <v>4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4">
        <f>$D101</f>
        <v>4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4">
        <f>$D101</f>
        <v>4</v>
      </c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4">
        <f>$D101</f>
        <v>4</v>
      </c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4">
        <f t="shared" si="25"/>
        <v>4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4">
        <f>$D101</f>
        <v>4</v>
      </c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4">
        <f>$D101</f>
        <v>4</v>
      </c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>
      <c r="A102" s="10" t="s">
        <v>107</v>
      </c>
      <c r="B102" s="10">
        <v>12.0</v>
      </c>
      <c r="C102" s="10" t="s">
        <v>40</v>
      </c>
      <c r="D102" s="10">
        <v>38.0</v>
      </c>
      <c r="E102" s="15"/>
      <c r="F102" s="15"/>
      <c r="G102" s="15"/>
      <c r="H102" s="15"/>
      <c r="I102" s="14">
        <f>$D102</f>
        <v>38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4">
        <f>$D102</f>
        <v>38</v>
      </c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>
      <c r="A103" s="10" t="s">
        <v>107</v>
      </c>
      <c r="B103" s="10">
        <v>12.0</v>
      </c>
      <c r="C103" s="10" t="s">
        <v>83</v>
      </c>
      <c r="D103" s="10">
        <v>16.0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4">
        <f t="shared" ref="Q103:Q104" si="26">$D103</f>
        <v>16</v>
      </c>
      <c r="R103" s="15"/>
      <c r="S103" s="15"/>
      <c r="T103" s="15"/>
      <c r="U103" s="16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4">
        <f t="shared" ref="BM103:BM104" si="27">$D103</f>
        <v>16</v>
      </c>
      <c r="BN103" s="15"/>
      <c r="BO103" s="15"/>
      <c r="BP103" s="15"/>
      <c r="BQ103" s="16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>
      <c r="A104" s="10" t="s">
        <v>121</v>
      </c>
      <c r="B104" s="10">
        <v>12.0</v>
      </c>
      <c r="C104" s="10" t="s">
        <v>122</v>
      </c>
      <c r="D104" s="10">
        <v>1.0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4">
        <f t="shared" si="26"/>
        <v>1</v>
      </c>
      <c r="R104" s="15"/>
      <c r="S104" s="15"/>
      <c r="T104" s="15"/>
      <c r="U104" s="16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4">
        <f t="shared" si="27"/>
        <v>1</v>
      </c>
      <c r="BN104" s="15"/>
      <c r="BO104" s="15"/>
      <c r="BP104" s="15"/>
      <c r="BQ104" s="16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>
      <c r="A105" s="10" t="s">
        <v>121</v>
      </c>
      <c r="B105" s="10">
        <v>12.0</v>
      </c>
      <c r="C105" s="10" t="s">
        <v>123</v>
      </c>
      <c r="D105" s="10">
        <v>2.0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6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4">
        <f>$D105</f>
        <v>2</v>
      </c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4"/>
      <c r="BJ105" s="15"/>
      <c r="BK105" s="15"/>
      <c r="BL105" s="15"/>
      <c r="BM105" s="15"/>
      <c r="BN105" s="15"/>
      <c r="BO105" s="15"/>
      <c r="BP105" s="15"/>
      <c r="BQ105" s="16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4">
        <f>$D105</f>
        <v>2</v>
      </c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>
      <c r="A106" s="10" t="s">
        <v>121</v>
      </c>
      <c r="B106" s="10">
        <v>6.0</v>
      </c>
      <c r="C106" s="10" t="s">
        <v>124</v>
      </c>
      <c r="D106" s="10">
        <v>1.0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4">
        <f t="shared" ref="Q106:Q107" si="28">$D106</f>
        <v>1</v>
      </c>
      <c r="R106" s="15"/>
      <c r="S106" s="15"/>
      <c r="T106" s="15"/>
      <c r="U106" s="16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4">
        <f t="shared" ref="BM106:BM107" si="29">$D106</f>
        <v>1</v>
      </c>
      <c r="BN106" s="15"/>
      <c r="BO106" s="15"/>
      <c r="BP106" s="15"/>
      <c r="BQ106" s="16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>
      <c r="A107" s="10" t="s">
        <v>121</v>
      </c>
      <c r="B107" s="10">
        <v>12.0</v>
      </c>
      <c r="C107" s="10" t="s">
        <v>125</v>
      </c>
      <c r="D107" s="10">
        <v>1.0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4">
        <f t="shared" si="28"/>
        <v>1</v>
      </c>
      <c r="R107" s="15"/>
      <c r="S107" s="15"/>
      <c r="T107" s="15"/>
      <c r="U107" s="16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4"/>
      <c r="BJ107" s="15"/>
      <c r="BK107" s="15"/>
      <c r="BL107" s="15"/>
      <c r="BM107" s="14">
        <f t="shared" si="29"/>
        <v>1</v>
      </c>
      <c r="BN107" s="15"/>
      <c r="BO107" s="15"/>
      <c r="BP107" s="15"/>
      <c r="BQ107" s="16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>
      <c r="A108" s="10" t="s">
        <v>121</v>
      </c>
      <c r="B108" s="10">
        <v>12.0</v>
      </c>
      <c r="C108" s="10" t="s">
        <v>34</v>
      </c>
      <c r="D108" s="10">
        <v>4.0</v>
      </c>
      <c r="E108" s="15"/>
      <c r="F108" s="15"/>
      <c r="G108" s="15"/>
      <c r="H108" s="15"/>
      <c r="I108" s="15"/>
      <c r="J108" s="15"/>
      <c r="K108" s="15"/>
      <c r="L108" s="15"/>
      <c r="M108" s="14">
        <f>$D108</f>
        <v>4</v>
      </c>
      <c r="N108" s="15"/>
      <c r="O108" s="15"/>
      <c r="P108" s="15"/>
      <c r="Q108" s="15"/>
      <c r="R108" s="15"/>
      <c r="S108" s="15"/>
      <c r="T108" s="15"/>
      <c r="U108" s="16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4">
        <f>$D108</f>
        <v>4</v>
      </c>
      <c r="BJ108" s="15"/>
      <c r="BK108" s="15"/>
      <c r="BL108" s="15"/>
      <c r="BM108" s="15"/>
      <c r="BN108" s="15"/>
      <c r="BO108" s="15"/>
      <c r="BP108" s="15"/>
      <c r="BQ108" s="16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>
      <c r="A109" s="10" t="s">
        <v>121</v>
      </c>
      <c r="B109" s="10">
        <v>6.0</v>
      </c>
      <c r="C109" s="10" t="s">
        <v>126</v>
      </c>
      <c r="D109" s="10">
        <v>1.0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4">
        <f t="shared" ref="Q109:Q113" si="30">$D109</f>
        <v>1</v>
      </c>
      <c r="R109" s="15"/>
      <c r="S109" s="15"/>
      <c r="T109" s="15"/>
      <c r="U109" s="16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4">
        <f t="shared" ref="BM109:BM113" si="31">$D109</f>
        <v>1</v>
      </c>
      <c r="BN109" s="15"/>
      <c r="BO109" s="15"/>
      <c r="BP109" s="15"/>
      <c r="BQ109" s="16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4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>
      <c r="A110" s="10" t="s">
        <v>121</v>
      </c>
      <c r="B110" s="10">
        <v>12.0</v>
      </c>
      <c r="C110" s="10" t="s">
        <v>42</v>
      </c>
      <c r="D110" s="10">
        <v>2.0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4">
        <f t="shared" si="30"/>
        <v>2</v>
      </c>
      <c r="R110" s="15"/>
      <c r="S110" s="15"/>
      <c r="T110" s="15"/>
      <c r="U110" s="16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4"/>
      <c r="BJ110" s="15"/>
      <c r="BK110" s="15"/>
      <c r="BL110" s="15"/>
      <c r="BM110" s="14">
        <f t="shared" si="31"/>
        <v>2</v>
      </c>
      <c r="BN110" s="15"/>
      <c r="BO110" s="15"/>
      <c r="BP110" s="15"/>
      <c r="BQ110" s="16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4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>
      <c r="A111" s="10" t="s">
        <v>127</v>
      </c>
      <c r="B111" s="10">
        <v>12.0</v>
      </c>
      <c r="C111" s="10" t="s">
        <v>30</v>
      </c>
      <c r="D111" s="10">
        <v>10.0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4">
        <f t="shared" si="30"/>
        <v>10</v>
      </c>
      <c r="R111" s="15"/>
      <c r="S111" s="15"/>
      <c r="T111" s="15"/>
      <c r="U111" s="16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4">
        <f t="shared" si="31"/>
        <v>10</v>
      </c>
      <c r="BO111" s="15"/>
      <c r="BP111" s="15"/>
      <c r="BQ111" s="16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>
      <c r="A112" s="10" t="s">
        <v>128</v>
      </c>
      <c r="B112" s="10">
        <v>12.0</v>
      </c>
      <c r="C112" s="10" t="s">
        <v>34</v>
      </c>
      <c r="D112" s="10">
        <v>4.0</v>
      </c>
      <c r="E112" s="15"/>
      <c r="F112" s="15"/>
      <c r="G112" s="15"/>
      <c r="H112" s="15"/>
      <c r="I112" s="15"/>
      <c r="J112" s="15"/>
      <c r="K112" s="15"/>
      <c r="L112" s="15"/>
      <c r="M112" s="14"/>
      <c r="N112" s="15"/>
      <c r="O112" s="15"/>
      <c r="P112" s="15"/>
      <c r="Q112" s="14">
        <f t="shared" si="30"/>
        <v>4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4"/>
      <c r="BJ112" s="15"/>
      <c r="BK112" s="15"/>
      <c r="BL112" s="15"/>
      <c r="BM112" s="14">
        <f t="shared" si="31"/>
        <v>4</v>
      </c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>
      <c r="A113" s="10" t="s">
        <v>128</v>
      </c>
      <c r="B113" s="10">
        <v>12.0</v>
      </c>
      <c r="C113" s="10" t="s">
        <v>30</v>
      </c>
      <c r="D113" s="10">
        <v>6.0</v>
      </c>
      <c r="E113" s="15"/>
      <c r="F113" s="15"/>
      <c r="G113" s="15"/>
      <c r="H113" s="15"/>
      <c r="I113" s="15"/>
      <c r="J113" s="15"/>
      <c r="K113" s="15"/>
      <c r="L113" s="15"/>
      <c r="N113" s="15"/>
      <c r="O113" s="15"/>
      <c r="P113" s="15"/>
      <c r="Q113" s="14">
        <f t="shared" si="30"/>
        <v>6</v>
      </c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J113" s="15"/>
      <c r="BK113" s="15"/>
      <c r="BL113" s="15"/>
      <c r="BM113" s="14">
        <f t="shared" si="31"/>
        <v>6</v>
      </c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>
      <c r="A114" s="19" t="s">
        <v>128</v>
      </c>
      <c r="B114" s="20">
        <v>12.0</v>
      </c>
      <c r="C114" s="19" t="s">
        <v>129</v>
      </c>
      <c r="D114" s="21">
        <v>5.0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2">
        <v>1.0</v>
      </c>
      <c r="R114" s="15"/>
      <c r="S114" s="15"/>
      <c r="T114" s="15"/>
      <c r="U114" s="16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4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2">
        <v>1.0</v>
      </c>
      <c r="BN114" s="15"/>
      <c r="BO114" s="15"/>
      <c r="BP114" s="15"/>
      <c r="BQ114" s="16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>
      <c r="A115" s="10" t="s">
        <v>130</v>
      </c>
      <c r="B115" s="10">
        <v>12.0</v>
      </c>
      <c r="C115" s="10" t="s">
        <v>131</v>
      </c>
      <c r="D115" s="10">
        <v>4.0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4">
        <f>$D115</f>
        <v>4</v>
      </c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4">
        <f>$D115</f>
        <v>4</v>
      </c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>
      <c r="A116" s="10" t="s">
        <v>130</v>
      </c>
      <c r="B116" s="10">
        <v>6.0</v>
      </c>
      <c r="C116" s="10" t="s">
        <v>114</v>
      </c>
      <c r="D116" s="10">
        <v>2.0</v>
      </c>
      <c r="E116" s="15"/>
      <c r="F116" s="15"/>
      <c r="G116" s="15"/>
      <c r="H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4"/>
      <c r="AH116" s="15"/>
      <c r="AI116" s="15"/>
      <c r="AJ116" s="15"/>
      <c r="AK116" s="15"/>
      <c r="AL116" s="15"/>
      <c r="AM116" s="15"/>
      <c r="AN116" s="15"/>
      <c r="AO116" s="14">
        <f>$D116</f>
        <v>2</v>
      </c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4"/>
      <c r="CD116" s="15"/>
      <c r="CE116" s="15"/>
      <c r="CF116" s="15"/>
      <c r="CG116" s="14">
        <f>$D116</f>
        <v>2</v>
      </c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>
      <c r="A117" s="10" t="s">
        <v>132</v>
      </c>
      <c r="B117" s="10">
        <v>12.0</v>
      </c>
      <c r="C117" s="10" t="s">
        <v>133</v>
      </c>
      <c r="D117" s="10">
        <v>4.0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4">
        <f t="shared" ref="U117:U119" si="32">$D117</f>
        <v>4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4">
        <f t="shared" ref="BQ117:BQ119" si="33">$D117</f>
        <v>4</v>
      </c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>
      <c r="A118" s="10" t="s">
        <v>132</v>
      </c>
      <c r="B118" s="10">
        <v>12.0</v>
      </c>
      <c r="C118" s="10" t="s">
        <v>55</v>
      </c>
      <c r="D118" s="10">
        <v>2.0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4">
        <f t="shared" si="32"/>
        <v>2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4">
        <f t="shared" si="33"/>
        <v>2</v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>
      <c r="A119" s="10" t="s">
        <v>132</v>
      </c>
      <c r="B119" s="10">
        <v>12.0</v>
      </c>
      <c r="C119" s="10" t="s">
        <v>34</v>
      </c>
      <c r="D119" s="10">
        <v>2.0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4">
        <f t="shared" si="32"/>
        <v>2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4">
        <f t="shared" si="33"/>
        <v>2</v>
      </c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>
      <c r="A120" s="10" t="s">
        <v>134</v>
      </c>
      <c r="B120" s="10">
        <v>24.0</v>
      </c>
      <c r="C120" s="10" t="s">
        <v>34</v>
      </c>
      <c r="D120" s="10">
        <v>3.5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4"/>
      <c r="R120" s="15"/>
      <c r="S120" s="15"/>
      <c r="T120" s="15"/>
      <c r="U120" s="16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4">
        <f>$D120</f>
        <v>3.5</v>
      </c>
      <c r="BN120" s="15"/>
      <c r="BO120" s="15"/>
      <c r="BP120" s="15"/>
      <c r="BQ120" s="16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>
      <c r="A121" s="10" t="s">
        <v>127</v>
      </c>
      <c r="B121" s="10">
        <v>12.0</v>
      </c>
      <c r="C121" s="10" t="s">
        <v>34</v>
      </c>
      <c r="D121" s="10">
        <v>6.0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6"/>
      <c r="R121" s="15"/>
      <c r="S121" s="15"/>
      <c r="T121" s="15"/>
      <c r="U121" s="14">
        <f>$D121</f>
        <v>6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6"/>
      <c r="BN121" s="15"/>
      <c r="BO121" s="15"/>
      <c r="BP121" s="15"/>
      <c r="BQ121" s="14">
        <f>$D121</f>
        <v>6</v>
      </c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>
      <c r="A122" s="10" t="s">
        <v>127</v>
      </c>
      <c r="B122" s="10">
        <v>12.0</v>
      </c>
      <c r="C122" s="10" t="s">
        <v>135</v>
      </c>
      <c r="D122" s="10">
        <v>4.0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6"/>
      <c r="R122" s="15"/>
      <c r="S122" s="15"/>
      <c r="T122" s="15"/>
      <c r="U122" s="16"/>
      <c r="V122" s="15"/>
      <c r="W122" s="15"/>
      <c r="X122" s="15"/>
      <c r="Y122" s="15"/>
      <c r="Z122" s="15"/>
      <c r="AA122" s="15"/>
      <c r="AB122" s="15"/>
      <c r="AC122" s="14">
        <f>$D122</f>
        <v>4</v>
      </c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6"/>
      <c r="BN122" s="15"/>
      <c r="BO122" s="15"/>
      <c r="BP122" s="15"/>
      <c r="BQ122" s="16"/>
      <c r="BR122" s="15"/>
      <c r="BS122" s="15"/>
      <c r="BT122" s="15"/>
      <c r="BU122" s="15"/>
      <c r="BV122" s="15"/>
      <c r="BW122" s="15"/>
      <c r="BX122" s="15"/>
      <c r="BY122" s="14">
        <f>$D122</f>
        <v>4</v>
      </c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>
      <c r="A123" s="10" t="s">
        <v>94</v>
      </c>
      <c r="B123" s="10">
        <v>12.0</v>
      </c>
      <c r="C123" s="10" t="s">
        <v>136</v>
      </c>
      <c r="D123" s="10">
        <v>1.0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5"/>
      <c r="S123" s="15"/>
      <c r="T123" s="15"/>
      <c r="U123" s="16"/>
      <c r="V123" s="15"/>
      <c r="W123" s="15"/>
      <c r="X123" s="15"/>
      <c r="Y123" s="15"/>
      <c r="Z123" s="15"/>
      <c r="AA123" s="15"/>
      <c r="AB123" s="15"/>
      <c r="AC123" s="16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4">
        <f>$D123</f>
        <v>1</v>
      </c>
      <c r="BG123" s="15"/>
      <c r="BH123" s="15"/>
      <c r="BI123" s="15"/>
      <c r="BJ123" s="15"/>
      <c r="BK123" s="15"/>
      <c r="BL123" s="15"/>
      <c r="BM123" s="16"/>
      <c r="BN123" s="15"/>
      <c r="BO123" s="15"/>
      <c r="BP123" s="15"/>
      <c r="BQ123" s="16"/>
      <c r="BR123" s="15"/>
      <c r="BS123" s="15"/>
      <c r="BT123" s="15"/>
      <c r="BU123" s="15"/>
      <c r="BV123" s="15"/>
      <c r="BW123" s="15"/>
      <c r="BX123" s="15"/>
      <c r="BY123" s="16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</sheetData>
  <mergeCells count="48">
    <mergeCell ref="AG1:AJ1"/>
    <mergeCell ref="AK1:AN1"/>
    <mergeCell ref="AO1:AR1"/>
    <mergeCell ref="AS1:AV1"/>
    <mergeCell ref="AW1:AZ1"/>
    <mergeCell ref="BA1:BD1"/>
    <mergeCell ref="BE1:BH1"/>
    <mergeCell ref="CK1:CN1"/>
    <mergeCell ref="CO1:CR1"/>
    <mergeCell ref="CS1:CV1"/>
    <mergeCell ref="BI1:BL1"/>
    <mergeCell ref="BM1:BP1"/>
    <mergeCell ref="BQ1:BT1"/>
    <mergeCell ref="BU1:BX1"/>
    <mergeCell ref="BY1:CB1"/>
    <mergeCell ref="CC1:CF1"/>
    <mergeCell ref="CG1:CJ1"/>
    <mergeCell ref="E1:H1"/>
    <mergeCell ref="I1:L1"/>
    <mergeCell ref="M1:P1"/>
    <mergeCell ref="Q1:T1"/>
    <mergeCell ref="U1:X1"/>
    <mergeCell ref="Y1:AB1"/>
    <mergeCell ref="AC1:AF1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CK2:CN2"/>
    <mergeCell ref="CO2:CR2"/>
    <mergeCell ref="CS2:CV2"/>
    <mergeCell ref="BI2:BL2"/>
    <mergeCell ref="BM2:BP2"/>
    <mergeCell ref="BQ2:BT2"/>
    <mergeCell ref="BU2:BX2"/>
    <mergeCell ref="BY2:CB2"/>
    <mergeCell ref="CC2:CF2"/>
    <mergeCell ref="CG2:CJ2"/>
  </mergeCells>
  <conditionalFormatting sqref="E4:CV4">
    <cfRule type="cellIs" dxfId="4" priority="1" operator="lessThan">
      <formula>10</formula>
    </cfRule>
  </conditionalFormatting>
  <conditionalFormatting sqref="E4:CV4">
    <cfRule type="cellIs" dxfId="5" priority="2" operator="between">
      <formula>10</formula>
      <formula>20</formula>
    </cfRule>
  </conditionalFormatting>
  <conditionalFormatting sqref="E4:CV4">
    <cfRule type="cellIs" dxfId="6" priority="3" operator="between">
      <formula>20</formula>
      <formula>40</formula>
    </cfRule>
  </conditionalFormatting>
  <conditionalFormatting sqref="E4:CV4">
    <cfRule type="cellIs" dxfId="7" priority="4" operator="greaterThan">
      <formula>40</formula>
    </cfRule>
  </conditionalFormatting>
  <conditionalFormatting sqref="E2:CV2">
    <cfRule type="cellIs" dxfId="4" priority="5" operator="lessThan">
      <formula>40</formula>
    </cfRule>
  </conditionalFormatting>
  <conditionalFormatting sqref="E2:CV2">
    <cfRule type="cellIs" dxfId="5" priority="6" operator="between">
      <formula>40</formula>
      <formula>70</formula>
    </cfRule>
  </conditionalFormatting>
  <conditionalFormatting sqref="E2:CV2">
    <cfRule type="cellIs" dxfId="8" priority="7" operator="greaterThan">
      <formula>70</formula>
    </cfRule>
  </conditionalFormatting>
  <printOptions gridLines="1" horizontalCentered="1"/>
  <pageMargins bottom="0.75" footer="0.0" header="0.0" left="0.7" right="0.7" top="0.75"/>
  <pageSetup paperSize="9" scale="60" cellComments="atEnd" orientation="landscape" pageOrder="overThenDown"/>
  <drawing r:id="rId4"/>
  <legacyDrawing r:id="rId5"/>
  <tableParts count="1">
    <tablePart r:id="rId7"/>
  </tableParts>
</worksheet>
</file>